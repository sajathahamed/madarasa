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e27d6eab5285c64b/Desktop/"/>
    </mc:Choice>
  </mc:AlternateContent>
  <xr:revisionPtr revIDLastSave="0" documentId="8_{334BA282-EAB3-4C2D-8974-CC01BE6347F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Sheet1!$A$1:$J$127</definedName>
    <definedName name="_xlnm.Print_Area" localSheetId="0">Sheet1!$A$1:$G$67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G43" i="1"/>
  <c r="G44" i="1"/>
  <c r="H40" i="1"/>
  <c r="G6" i="1"/>
  <c r="G7" i="1"/>
  <c r="G8" i="1"/>
  <c r="G9" i="1"/>
  <c r="G10" i="1"/>
  <c r="G11" i="1"/>
  <c r="G12" i="1"/>
  <c r="G13" i="1"/>
  <c r="G14" i="1"/>
  <c r="G15" i="1"/>
  <c r="G16" i="1"/>
  <c r="G17" i="1"/>
  <c r="L23" i="1"/>
  <c r="L117" i="1"/>
  <c r="L118" i="1"/>
  <c r="L119" i="1"/>
  <c r="L116" i="1"/>
  <c r="J42" i="1"/>
  <c r="L42" i="1" s="1"/>
  <c r="J43" i="1"/>
  <c r="L43" i="1" s="1"/>
  <c r="J44" i="1"/>
  <c r="L44" i="1" s="1"/>
  <c r="G30" i="1"/>
  <c r="G33" i="1"/>
  <c r="G27" i="1"/>
  <c r="G31" i="1"/>
  <c r="G24" i="1"/>
  <c r="G37" i="1"/>
  <c r="G29" i="1"/>
  <c r="G38" i="1"/>
  <c r="G25" i="1"/>
  <c r="G34" i="1"/>
  <c r="G28" i="1"/>
  <c r="G35" i="1"/>
  <c r="G39" i="1"/>
  <c r="G32" i="1"/>
  <c r="G36" i="1"/>
  <c r="G41" i="1"/>
  <c r="G104" i="1"/>
  <c r="G75" i="1"/>
  <c r="G105" i="1"/>
  <c r="G68" i="1"/>
  <c r="G90" i="1"/>
  <c r="G106" i="1"/>
  <c r="G92" i="1"/>
  <c r="G73" i="1"/>
  <c r="G69" i="1"/>
  <c r="G87" i="1"/>
  <c r="G93" i="1"/>
  <c r="G77" i="1"/>
  <c r="G91" i="1"/>
  <c r="G107" i="1"/>
  <c r="G76" i="1"/>
  <c r="G80" i="1"/>
  <c r="G102" i="1"/>
  <c r="G72" i="1"/>
  <c r="G94" i="1"/>
  <c r="G74" i="1"/>
  <c r="G108" i="1"/>
  <c r="G71" i="1"/>
  <c r="G81" i="1"/>
  <c r="G82" i="1"/>
  <c r="G103" i="1"/>
  <c r="G70" i="1"/>
  <c r="G109" i="1"/>
  <c r="G110" i="1"/>
  <c r="G111" i="1"/>
  <c r="G112" i="1"/>
  <c r="G113" i="1"/>
  <c r="G88" i="1"/>
  <c r="G83" i="1"/>
  <c r="G95" i="1"/>
  <c r="G96" i="1"/>
  <c r="G97" i="1"/>
  <c r="G78" i="1"/>
  <c r="G114" i="1"/>
  <c r="G115" i="1"/>
  <c r="G98" i="1"/>
  <c r="G84" i="1"/>
  <c r="G79" i="1"/>
  <c r="G116" i="1"/>
  <c r="G85" i="1"/>
  <c r="G99" i="1"/>
  <c r="G100" i="1"/>
  <c r="G101" i="1"/>
  <c r="G86" i="1"/>
  <c r="G18" i="1"/>
  <c r="G19" i="1"/>
  <c r="G20" i="1"/>
  <c r="G21" i="1"/>
  <c r="G22" i="1"/>
  <c r="J120" i="1" l="1"/>
</calcChain>
</file>

<file path=xl/sharedStrings.xml><?xml version="1.0" encoding="utf-8"?>
<sst xmlns="http://schemas.openxmlformats.org/spreadsheetml/2006/main" count="304" uniqueCount="220">
  <si>
    <t>No</t>
  </si>
  <si>
    <t>Index</t>
  </si>
  <si>
    <t>Name</t>
  </si>
  <si>
    <t>P.No</t>
  </si>
  <si>
    <t>Ansaf</t>
  </si>
  <si>
    <t>Munsif</t>
  </si>
  <si>
    <t>Amhar</t>
  </si>
  <si>
    <t>Aathil</t>
  </si>
  <si>
    <t>Abdullah</t>
  </si>
  <si>
    <t>Atheef</t>
  </si>
  <si>
    <t>Muhammad</t>
  </si>
  <si>
    <t>Humais</t>
  </si>
  <si>
    <t>Anoof</t>
  </si>
  <si>
    <t>Nafees</t>
  </si>
  <si>
    <t>Nufath</t>
  </si>
  <si>
    <t>Ufath</t>
  </si>
  <si>
    <t>Atheek</t>
  </si>
  <si>
    <t>Waleeth</t>
  </si>
  <si>
    <t>Fazahir</t>
  </si>
  <si>
    <t>Mufthi Ahmath</t>
  </si>
  <si>
    <t>Ifnas</t>
  </si>
  <si>
    <t>Abdullah Anas</t>
  </si>
  <si>
    <t>Hasni</t>
  </si>
  <si>
    <t>Zahrib</t>
  </si>
  <si>
    <t>Hanan</t>
  </si>
  <si>
    <t>Raeis</t>
  </si>
  <si>
    <t>Haseeth</t>
  </si>
  <si>
    <t>Asjath</t>
  </si>
  <si>
    <t>Faisal</t>
  </si>
  <si>
    <t>MAhthi</t>
  </si>
  <si>
    <t>Muharis</t>
  </si>
  <si>
    <t>Fahith</t>
  </si>
  <si>
    <t>Nafeel</t>
  </si>
  <si>
    <t>Ifas</t>
  </si>
  <si>
    <t>AM.HUSAIN</t>
  </si>
  <si>
    <t>R.ABDULLAH</t>
  </si>
  <si>
    <t>SN.AMJATH</t>
  </si>
  <si>
    <t>T.HUTHAIFA</t>
  </si>
  <si>
    <t>HLM.SHAM</t>
  </si>
  <si>
    <t>NM.WAFAS</t>
  </si>
  <si>
    <t>ARM.MUNSIF</t>
  </si>
  <si>
    <t>S.ABDULLAH</t>
  </si>
  <si>
    <t>NM.AKMAL</t>
  </si>
  <si>
    <t>MM.A.HATHIK</t>
  </si>
  <si>
    <t>MM.NUSAIF</t>
  </si>
  <si>
    <t>UM.MINHAJ</t>
  </si>
  <si>
    <t>RM.SAHI</t>
  </si>
  <si>
    <t>FM.NAJATH</t>
  </si>
  <si>
    <t>AR.ABDULLAH</t>
  </si>
  <si>
    <t>SM.SAJITH</t>
  </si>
  <si>
    <t>SM.SAJATH</t>
  </si>
  <si>
    <t>IM.MANSAF</t>
  </si>
  <si>
    <t>KM.ANFAL</t>
  </si>
  <si>
    <t>HMM.AFLAM</t>
  </si>
  <si>
    <t>MM.AKRAM</t>
  </si>
  <si>
    <t>RM.SHAKIR</t>
  </si>
  <si>
    <t>FM.AHNAF</t>
  </si>
  <si>
    <t>FM.FARHAN</t>
  </si>
  <si>
    <t>SM.NIFRAS;</t>
  </si>
  <si>
    <t>School road ,kavathamunai</t>
  </si>
  <si>
    <t>Hajiyar road,meeravodai</t>
  </si>
  <si>
    <t>Girl school road,EVR</t>
  </si>
  <si>
    <t>Thareeka road ,Valachenai</t>
  </si>
  <si>
    <t>Pothuvil</t>
  </si>
  <si>
    <t>Zaviya road,kathankudi</t>
  </si>
  <si>
    <t>Akbar mosqeroad ,EVR</t>
  </si>
  <si>
    <t>jinna mosqe road,EVR</t>
  </si>
  <si>
    <t>Althaf bakkary,EVR</t>
  </si>
  <si>
    <t>makkamadiroad,EVR</t>
  </si>
  <si>
    <t>hopital road,EVR</t>
  </si>
  <si>
    <t>Noora mosqe road,EVR</t>
  </si>
  <si>
    <t>Alayadi road ,Valachenal</t>
  </si>
  <si>
    <t>Alayadi road ,EVR</t>
  </si>
  <si>
    <t>Punnakuda road,EVR</t>
  </si>
  <si>
    <t>Baraka mosqe road,EVR</t>
  </si>
  <si>
    <t>Ammar</t>
  </si>
  <si>
    <t>RDS road ,EVR</t>
  </si>
  <si>
    <t>Muhaideen thaika road,VCH</t>
  </si>
  <si>
    <t>palliyadi road ,EVR</t>
  </si>
  <si>
    <t>Noor jumma m road,Rijithanna</t>
  </si>
  <si>
    <t>girl Market road,EVR</t>
  </si>
  <si>
    <t>Rajister road,katuvanvila</t>
  </si>
  <si>
    <t>makkamadi road,EVR</t>
  </si>
  <si>
    <t>Kky - 5</t>
  </si>
  <si>
    <t>old market road ,EVR</t>
  </si>
  <si>
    <t>258/3 gallaela,</t>
  </si>
  <si>
    <t>376 katuvanvila</t>
  </si>
  <si>
    <t>maiyavadi road , Athukala</t>
  </si>
  <si>
    <t>EVR</t>
  </si>
  <si>
    <t>Muslim kulani,kathuruvela</t>
  </si>
  <si>
    <t>Jumma mosqe road,Katuvanvila</t>
  </si>
  <si>
    <t>265/1 rijister road,katuvanvila</t>
  </si>
  <si>
    <t>railway road ,EVR</t>
  </si>
  <si>
    <t>269jumma mosqe road,Katuvanvila</t>
  </si>
  <si>
    <t>Odaviyar road,EVR</t>
  </si>
  <si>
    <t>Hisbulla road,kavathamunai</t>
  </si>
  <si>
    <t>497 maiyavadi road,Athukela</t>
  </si>
  <si>
    <t>Makkamadi road,EVR</t>
  </si>
  <si>
    <t>Akbar mosqe road,EVR</t>
  </si>
  <si>
    <t>Jauanthiyaya</t>
  </si>
  <si>
    <t>Hisbulla road ,kavathamunai</t>
  </si>
  <si>
    <t>35/7 kasim road ,KKY</t>
  </si>
  <si>
    <t>Valachenai</t>
  </si>
  <si>
    <t>MPCS road,VCH</t>
  </si>
  <si>
    <t>Hairath road ,VCH</t>
  </si>
  <si>
    <t>School road,kavathamunai</t>
  </si>
  <si>
    <t>bathuriya mosqe road,VCH</t>
  </si>
  <si>
    <t>Thareeka roaq ,VCH</t>
  </si>
  <si>
    <t>Jinna road,EVR</t>
  </si>
  <si>
    <t>kathupalli road,EVR</t>
  </si>
  <si>
    <t>Pansalai road.VCH</t>
  </si>
  <si>
    <t>Librari road,EVR</t>
  </si>
  <si>
    <t>Zam zam road,VCH</t>
  </si>
  <si>
    <t>RIHAM</t>
  </si>
  <si>
    <t>GALLALE</t>
  </si>
  <si>
    <t xml:space="preserve">Grade </t>
  </si>
  <si>
    <t>AR .Matheen</t>
  </si>
  <si>
    <t>D</t>
  </si>
  <si>
    <t xml:space="preserve">UM.Anoof Tamith  </t>
  </si>
  <si>
    <t>Muath</t>
  </si>
  <si>
    <t>school road,Kavathamunai</t>
  </si>
  <si>
    <t>Rislan</t>
  </si>
  <si>
    <t>school road,VCH</t>
  </si>
  <si>
    <t>School road,EVR</t>
  </si>
  <si>
    <t>Areef</t>
  </si>
  <si>
    <t>RDS road,EVR</t>
  </si>
  <si>
    <t>ABM.Muees</t>
  </si>
  <si>
    <t>Post box road,EVR</t>
  </si>
  <si>
    <t>SM.Arshath</t>
  </si>
  <si>
    <t>Muslim kolani,Gallala</t>
  </si>
  <si>
    <t>F.Muhemmed</t>
  </si>
  <si>
    <t>Muhajreem mosqe road,EVR</t>
  </si>
  <si>
    <t>SBM.Rihan</t>
  </si>
  <si>
    <t>Muhaideem mosqe road,EVR</t>
  </si>
  <si>
    <t>F.Abdullah</t>
  </si>
  <si>
    <t>Sainthamaruthu</t>
  </si>
  <si>
    <t>Musab</t>
  </si>
  <si>
    <t>Jinna mosqe road,EVR</t>
  </si>
  <si>
    <t>Zaith</t>
  </si>
  <si>
    <t>wadikan road,EVR</t>
  </si>
  <si>
    <t>Asmath</t>
  </si>
  <si>
    <t>Ashraf school road,EVR</t>
  </si>
  <si>
    <t>Mufeeth</t>
  </si>
  <si>
    <t>Ishfaq</t>
  </si>
  <si>
    <t>Hithayath nahar ,EVR</t>
  </si>
  <si>
    <t>Ismath</t>
  </si>
  <si>
    <t>Masjith road,EVR</t>
  </si>
  <si>
    <t>Ibadullah</t>
  </si>
  <si>
    <t>Kathupali road,EVR</t>
  </si>
  <si>
    <t>K.Muhammed</t>
  </si>
  <si>
    <t>old market road,EVR</t>
  </si>
  <si>
    <t>Asrif</t>
  </si>
  <si>
    <t>Akber mosqe road,EVR</t>
  </si>
  <si>
    <t>Faees</t>
  </si>
  <si>
    <t>grand mosqe,gallala</t>
  </si>
  <si>
    <t>I.Rahman</t>
  </si>
  <si>
    <t>Ubaith</t>
  </si>
  <si>
    <t>Alayadi  road,EVR</t>
  </si>
  <si>
    <t>Usman</t>
  </si>
  <si>
    <t>Karbala,KKY</t>
  </si>
  <si>
    <t>Ahmath</t>
  </si>
  <si>
    <t>Javahira road ,sainthamaruthu</t>
  </si>
  <si>
    <t>A,Muhammed</t>
  </si>
  <si>
    <t>Sahib</t>
  </si>
  <si>
    <t>Makkar school road,EVR</t>
  </si>
  <si>
    <t>Ukasha</t>
  </si>
  <si>
    <t>Anees</t>
  </si>
  <si>
    <t>Rajister road ,kathuvanvila</t>
  </si>
  <si>
    <t>Anfas</t>
  </si>
  <si>
    <t>Nalsam puram</t>
  </si>
  <si>
    <t>Shafqi</t>
  </si>
  <si>
    <t>sinna senapura ,valikantha</t>
  </si>
  <si>
    <t>K,Yoousuf</t>
  </si>
  <si>
    <t>355/5 Maruthamunai</t>
  </si>
  <si>
    <t>Rakees</t>
  </si>
  <si>
    <t>Manjanthoduvai ,batticolo</t>
  </si>
  <si>
    <t>A.Rahman</t>
  </si>
  <si>
    <t>Zainulabtheen road,KKY</t>
  </si>
  <si>
    <t>Fahri</t>
  </si>
  <si>
    <t>Vadihal road,EVR</t>
  </si>
  <si>
    <t>N.Muhammed</t>
  </si>
  <si>
    <t>Yoosuf Naja</t>
  </si>
  <si>
    <t>Muthuvappa lane,KKY</t>
  </si>
  <si>
    <t>Aseem</t>
  </si>
  <si>
    <t>Yala road Kanulvela,Bibilla</t>
  </si>
  <si>
    <t>Aalim road,Meeravodai</t>
  </si>
  <si>
    <t>Rasheet road meeravodai</t>
  </si>
  <si>
    <t>Makarim</t>
  </si>
  <si>
    <t>Jasath</t>
  </si>
  <si>
    <t>School road,semanodai</t>
  </si>
  <si>
    <t>Hifz</t>
  </si>
  <si>
    <t xml:space="preserve">Pending Months </t>
  </si>
  <si>
    <t>left</t>
  </si>
  <si>
    <t>BALANCE ON 30.07.2026</t>
  </si>
  <si>
    <t>Yosuf Saad</t>
  </si>
  <si>
    <t>INAAM</t>
  </si>
  <si>
    <t>Naflan</t>
  </si>
  <si>
    <t>Hunaif</t>
  </si>
  <si>
    <t xml:space="preserve">Musab </t>
  </si>
  <si>
    <t>Aied Umar</t>
  </si>
  <si>
    <t xml:space="preserve">Rifqi ahmed </t>
  </si>
  <si>
    <t>R.Muadth</t>
  </si>
  <si>
    <t>Majith Muhantas</t>
  </si>
  <si>
    <t>Shahir</t>
  </si>
  <si>
    <t>ANM .Anoof</t>
  </si>
  <si>
    <t>MM Sahee</t>
  </si>
  <si>
    <t>Rinaf</t>
  </si>
  <si>
    <t xml:space="preserve">N Umar </t>
  </si>
  <si>
    <t xml:space="preserve">Asrif </t>
  </si>
  <si>
    <t>Youns Sa'äd</t>
  </si>
  <si>
    <t xml:space="preserve">Augest </t>
  </si>
  <si>
    <t xml:space="preserve">Total pending </t>
  </si>
  <si>
    <t xml:space="preserve">Augest payment </t>
  </si>
  <si>
    <t xml:space="preserve">Balance </t>
  </si>
  <si>
    <t>Amjath</t>
  </si>
  <si>
    <t>M.r Abdullah</t>
  </si>
  <si>
    <t>S.m nifraas</t>
  </si>
  <si>
    <t>LEFT</t>
  </si>
  <si>
    <t>Safwaan</t>
  </si>
  <si>
    <t xml:space="preserve">                        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</si>
</sst>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4" tint="-0.249977111117893"/>
      <name val="Calibri"/>
      <family val="2"/>
      <scheme val="minor"/>
    </font>
    <font>
      <sz val="18"/>
      <color theme="4" tint="-0.249977111117893"/>
      <name val="Times New Roman"/>
      <family val="1"/>
    </font>
    <font>
      <sz val="18"/>
      <color rgb="FFFF0000"/>
      <name val="Times New Roman"/>
      <family val="1"/>
    </font>
    <font>
      <b/>
      <sz val="18"/>
      <color rgb="FFFF0000"/>
      <name val="Calibri"/>
      <family val="2"/>
      <scheme val="minor"/>
    </font>
    <font>
      <b/>
      <sz val="18"/>
      <color rgb="FFFF0000"/>
      <name val="Times New Roman"/>
      <family val="1"/>
    </font>
    <font>
      <sz val="18"/>
      <color theme="5"/>
      <name val="Times New Roman"/>
      <family val="1"/>
    </font>
    <font>
      <b/>
      <sz val="18"/>
      <color theme="5"/>
      <name val="Times New Roman"/>
      <family val="1"/>
    </font>
    <font>
      <b/>
      <sz val="18"/>
      <color theme="5"/>
      <name val="Calibri"/>
      <family val="2"/>
      <scheme val="minor"/>
    </font>
    <font>
      <sz val="18"/>
      <color theme="9" tint="-0.249977111117893"/>
      <name val="Times New Roman"/>
      <family val="1"/>
    </font>
    <font>
      <b/>
      <sz val="18"/>
      <color theme="9" tint="-0.249977111117893"/>
      <name val="Times New Roman"/>
      <family val="1"/>
    </font>
    <font>
      <b/>
      <sz val="18"/>
      <color theme="9" tint="-0.249977111117893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sz val="18"/>
      <color theme="4" tint="-0.499984740745262"/>
      <name val="Times New Roman"/>
      <family val="1"/>
    </font>
    <font>
      <b/>
      <sz val="18"/>
      <color theme="4" tint="-0.499984740745262"/>
      <name val="Times New Roman"/>
      <family val="1"/>
    </font>
    <font>
      <sz val="24"/>
      <color rgb="FF000000"/>
      <name val="Times New Roman"/>
      <family val="1"/>
    </font>
    <font>
      <b/>
      <sz val="22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Times New Roman"/>
      <family val="1"/>
    </font>
    <font>
      <b/>
      <sz val="22"/>
      <name val="Calibri"/>
      <family val="2"/>
      <scheme val="minor"/>
    </font>
    <font>
      <sz val="18"/>
      <name val="Times New Roman"/>
      <family val="1"/>
    </font>
    <font>
      <b/>
      <sz val="12"/>
      <name val="Calibri"/>
      <family val="2"/>
      <scheme val="minor"/>
    </font>
    <font>
      <sz val="24"/>
      <color rgb="FFFF0000"/>
      <name val="Times New Roman"/>
      <family val="1"/>
    </font>
    <font>
      <b/>
      <sz val="2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name val="Times New Roman"/>
      <family val="1"/>
    </font>
    <font>
      <b/>
      <sz val="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0" fillId="0" borderId="1" xfId="0" applyFont="1" applyBorder="1"/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3" fillId="0" borderId="1" xfId="0" applyFont="1" applyBorder="1"/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1" xfId="0" applyFont="1" applyBorder="1"/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1" xfId="0" applyFont="1" applyBorder="1"/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/>
    </xf>
    <xf numFmtId="0" fontId="23" fillId="0" borderId="0" xfId="0" applyFont="1" applyBorder="1" applyAlignment="1">
      <alignment horizontal="center" vertical="center" wrapText="1"/>
    </xf>
    <xf numFmtId="0" fontId="21" fillId="0" borderId="1" xfId="0" applyFont="1" applyBorder="1"/>
    <xf numFmtId="164" fontId="1" fillId="0" borderId="0" xfId="1" applyFont="1"/>
    <xf numFmtId="164" fontId="2" fillId="0" borderId="0" xfId="0" applyNumberFormat="1" applyFont="1"/>
    <xf numFmtId="0" fontId="9" fillId="2" borderId="0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/>
    <xf numFmtId="0" fontId="1" fillId="2" borderId="0" xfId="0" applyFont="1" applyFill="1"/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vertical="center" wrapText="1"/>
    </xf>
    <xf numFmtId="0" fontId="7" fillId="0" borderId="1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4" fontId="7" fillId="0" borderId="1" xfId="0" applyNumberFormat="1" applyFont="1" applyBorder="1"/>
    <xf numFmtId="0" fontId="13" fillId="0" borderId="1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164" fontId="13" fillId="0" borderId="1" xfId="0" applyNumberFormat="1" applyFont="1" applyBorder="1"/>
    <xf numFmtId="164" fontId="25" fillId="0" borderId="0" xfId="0" applyNumberFormat="1" applyFont="1"/>
    <xf numFmtId="0" fontId="2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164" fontId="28" fillId="0" borderId="0" xfId="0" applyNumberFormat="1" applyFont="1"/>
    <xf numFmtId="0" fontId="29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0" fontId="27" fillId="0" borderId="0" xfId="0" applyFont="1" applyBorder="1" applyAlignment="1">
      <alignment horizontal="center" vertical="center" wrapText="1"/>
    </xf>
    <xf numFmtId="0" fontId="26" fillId="0" borderId="6" xfId="0" applyFont="1" applyBorder="1"/>
    <xf numFmtId="0" fontId="30" fillId="0" borderId="0" xfId="0" applyFont="1"/>
    <xf numFmtId="164" fontId="25" fillId="0" borderId="0" xfId="0" applyNumberFormat="1" applyFont="1" applyAlignment="1">
      <alignment horizontal="center"/>
    </xf>
    <xf numFmtId="0" fontId="25" fillId="0" borderId="0" xfId="0" applyFont="1"/>
    <xf numFmtId="0" fontId="32" fillId="0" borderId="0" xfId="0" applyFont="1" applyAlignment="1">
      <alignment horizontal="center"/>
    </xf>
    <xf numFmtId="0" fontId="25" fillId="0" borderId="1" xfId="0" applyFont="1" applyBorder="1"/>
    <xf numFmtId="0" fontId="31" fillId="0" borderId="4" xfId="0" applyFont="1" applyBorder="1" applyAlignment="1">
      <alignment horizontal="center" vertical="center" wrapText="1"/>
    </xf>
    <xf numFmtId="0" fontId="31" fillId="0" borderId="5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26" fillId="0" borderId="1" xfId="0" applyFont="1" applyBorder="1"/>
    <xf numFmtId="0" fontId="7" fillId="0" borderId="0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164" fontId="2" fillId="0" borderId="0" xfId="0" applyNumberFormat="1" applyFont="1" applyAlignment="1"/>
    <xf numFmtId="0" fontId="27" fillId="0" borderId="0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27" fillId="0" borderId="0" xfId="0" applyFont="1" applyBorder="1"/>
    <xf numFmtId="0" fontId="27" fillId="0" borderId="3" xfId="0" applyFont="1" applyBorder="1"/>
    <xf numFmtId="0" fontId="12" fillId="0" borderId="3" xfId="0" applyFont="1" applyBorder="1" applyAlignment="1">
      <alignment vertical="center" wrapText="1"/>
    </xf>
    <xf numFmtId="0" fontId="26" fillId="0" borderId="0" xfId="0" applyFont="1" applyBorder="1"/>
    <xf numFmtId="0" fontId="14" fillId="0" borderId="4" xfId="0" applyFont="1" applyBorder="1" applyAlignment="1">
      <alignment horizontal="center"/>
    </xf>
    <xf numFmtId="0" fontId="14" fillId="0" borderId="5" xfId="0" applyFont="1" applyBorder="1"/>
    <xf numFmtId="0" fontId="14" fillId="0" borderId="0" xfId="0" applyFont="1" applyAlignment="1">
      <alignment horizontal="center"/>
    </xf>
    <xf numFmtId="0" fontId="25" fillId="0" borderId="0" xfId="0" applyNumberFormat="1" applyFont="1" applyAlignment="1">
      <alignment horizont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3" fillId="0" borderId="0" xfId="0" applyFont="1" applyBorder="1"/>
    <xf numFmtId="164" fontId="33" fillId="0" borderId="0" xfId="1" applyFont="1"/>
    <xf numFmtId="0" fontId="26" fillId="0" borderId="1" xfId="0" applyNumberFormat="1" applyFont="1" applyBorder="1" applyAlignment="1">
      <alignment horizontal="center"/>
    </xf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28" fillId="0" borderId="1" xfId="0" applyFont="1" applyBorder="1"/>
    <xf numFmtId="164" fontId="26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zoomScale="52" zoomScaleNormal="52" workbookViewId="0">
      <pane ySplit="1" topLeftCell="A99" activePane="bottomLeft" state="frozen"/>
      <selection pane="bottomLeft" activeCell="J117" sqref="J117"/>
    </sheetView>
  </sheetViews>
  <sheetFormatPr defaultRowHeight="46.5" customHeight="1" x14ac:dyDescent="0.55000000000000004"/>
  <cols>
    <col min="1" max="1" width="15" style="53" bestFit="1" customWidth="1"/>
    <col min="2" max="2" width="18.7109375" style="9" bestFit="1" customWidth="1"/>
    <col min="3" max="3" width="32.7109375" style="1" bestFit="1" customWidth="1"/>
    <col min="4" max="4" width="20.42578125" style="11" customWidth="1"/>
    <col min="5" max="5" width="54.7109375" style="1" customWidth="1"/>
    <col min="6" max="6" width="23.5703125" style="1" customWidth="1"/>
    <col min="7" max="7" width="35.28515625" style="1" customWidth="1"/>
    <col min="8" max="8" width="50.42578125" style="1" bestFit="1" customWidth="1"/>
    <col min="9" max="9" width="29.7109375" style="1" customWidth="1"/>
    <col min="10" max="10" width="27.85546875" style="1" bestFit="1" customWidth="1"/>
    <col min="11" max="11" width="46.5703125" style="1" customWidth="1"/>
    <col min="12" max="12" width="30.28515625" style="1" customWidth="1"/>
    <col min="13" max="16384" width="9.140625" style="1"/>
  </cols>
  <sheetData>
    <row r="1" spans="1:14" ht="46.5" customHeight="1" thickBot="1" x14ac:dyDescent="0.55000000000000004">
      <c r="A1" s="52" t="s">
        <v>0</v>
      </c>
      <c r="B1" s="12" t="s">
        <v>1</v>
      </c>
      <c r="C1" s="12" t="s">
        <v>2</v>
      </c>
      <c r="D1" s="12" t="s">
        <v>115</v>
      </c>
      <c r="E1" s="12" t="s">
        <v>117</v>
      </c>
      <c r="F1" s="12" t="s">
        <v>3</v>
      </c>
      <c r="G1" s="12" t="s">
        <v>191</v>
      </c>
      <c r="H1" s="10" t="s">
        <v>193</v>
      </c>
      <c r="I1" s="10" t="s">
        <v>210</v>
      </c>
      <c r="J1" s="4" t="s">
        <v>211</v>
      </c>
      <c r="K1" s="4" t="s">
        <v>212</v>
      </c>
      <c r="L1" s="4" t="s">
        <v>213</v>
      </c>
      <c r="M1" s="4"/>
      <c r="N1" s="4"/>
    </row>
    <row r="2" spans="1:14" ht="46.5" customHeight="1" thickBot="1" x14ac:dyDescent="0.5">
      <c r="A2" s="52">
        <v>20</v>
      </c>
      <c r="B2" s="78">
        <v>595</v>
      </c>
      <c r="C2" s="79" t="s">
        <v>23</v>
      </c>
      <c r="D2" s="43">
        <v>1</v>
      </c>
      <c r="E2" s="44" t="s">
        <v>74</v>
      </c>
      <c r="F2" s="44">
        <v>764521953</v>
      </c>
      <c r="G2" s="54"/>
      <c r="H2" s="45"/>
      <c r="I2" s="4"/>
      <c r="J2" s="42">
        <v>78000</v>
      </c>
      <c r="K2" s="4"/>
      <c r="L2" s="42"/>
      <c r="M2" s="4"/>
      <c r="N2" s="4"/>
    </row>
    <row r="3" spans="1:14" ht="46.5" customHeight="1" thickBot="1" x14ac:dyDescent="0.5">
      <c r="A3" s="52">
        <v>16</v>
      </c>
      <c r="B3" s="17">
        <v>648</v>
      </c>
      <c r="C3" s="18" t="s">
        <v>7</v>
      </c>
      <c r="D3" s="15">
        <v>1</v>
      </c>
      <c r="E3" s="16" t="s">
        <v>70</v>
      </c>
      <c r="F3" s="16">
        <v>772799706</v>
      </c>
      <c r="G3" s="54"/>
      <c r="H3" s="42"/>
      <c r="I3" s="4"/>
      <c r="J3" s="42">
        <v>24000</v>
      </c>
      <c r="K3" s="4"/>
      <c r="L3" s="42"/>
      <c r="M3" s="4"/>
      <c r="N3" s="4"/>
    </row>
    <row r="4" spans="1:14" ht="46.5" customHeight="1" thickBot="1" x14ac:dyDescent="0.5">
      <c r="A4" s="52">
        <v>6</v>
      </c>
      <c r="B4" s="19">
        <v>667</v>
      </c>
      <c r="C4" s="20" t="s">
        <v>14</v>
      </c>
      <c r="D4" s="15">
        <v>1</v>
      </c>
      <c r="E4" s="21" t="s">
        <v>63</v>
      </c>
      <c r="F4" s="21">
        <v>751303418</v>
      </c>
      <c r="G4" s="54"/>
      <c r="H4" s="42"/>
      <c r="I4" s="4"/>
      <c r="J4" s="42">
        <v>50000</v>
      </c>
      <c r="K4" s="4"/>
      <c r="L4" s="42"/>
      <c r="M4" s="4"/>
      <c r="N4" s="4"/>
    </row>
    <row r="5" spans="1:14" ht="46.5" customHeight="1" thickBot="1" x14ac:dyDescent="0.5">
      <c r="A5" s="52">
        <v>7</v>
      </c>
      <c r="B5" s="19">
        <v>727</v>
      </c>
      <c r="C5" s="20" t="s">
        <v>15</v>
      </c>
      <c r="D5" s="15">
        <v>1</v>
      </c>
      <c r="E5" s="21" t="s">
        <v>64</v>
      </c>
      <c r="F5" s="21">
        <v>774246990</v>
      </c>
      <c r="G5" s="54"/>
      <c r="H5" s="42"/>
      <c r="I5" s="4"/>
      <c r="J5" s="42">
        <v>78000</v>
      </c>
      <c r="K5" s="4"/>
      <c r="L5" s="42"/>
      <c r="M5" s="4"/>
      <c r="N5" s="4"/>
    </row>
    <row r="6" spans="1:14" ht="46.5" customHeight="1" thickBot="1" x14ac:dyDescent="0.5">
      <c r="A6" s="52">
        <v>14</v>
      </c>
      <c r="B6" s="19">
        <v>780</v>
      </c>
      <c r="C6" s="20" t="s">
        <v>18</v>
      </c>
      <c r="D6" s="15">
        <v>1</v>
      </c>
      <c r="E6" s="21"/>
      <c r="F6" s="21"/>
      <c r="G6" s="54">
        <f t="shared" ref="G6:G22" si="0">H6/12000</f>
        <v>0</v>
      </c>
      <c r="H6" s="42"/>
      <c r="I6" s="4"/>
      <c r="J6" s="42">
        <v>74000</v>
      </c>
      <c r="K6" s="4"/>
      <c r="L6" s="42"/>
      <c r="M6" s="4"/>
      <c r="N6" s="4"/>
    </row>
    <row r="7" spans="1:14" ht="46.5" customHeight="1" thickBot="1" x14ac:dyDescent="0.5">
      <c r="A7" s="52">
        <v>19</v>
      </c>
      <c r="B7" s="19">
        <v>762</v>
      </c>
      <c r="C7" s="20" t="s">
        <v>22</v>
      </c>
      <c r="D7" s="15">
        <v>1</v>
      </c>
      <c r="E7" s="21" t="s">
        <v>73</v>
      </c>
      <c r="F7" s="21">
        <v>750848690</v>
      </c>
      <c r="G7" s="54">
        <f t="shared" si="0"/>
        <v>0</v>
      </c>
      <c r="H7" s="42"/>
      <c r="I7" s="4"/>
      <c r="J7" s="42">
        <v>48000</v>
      </c>
      <c r="K7" s="4"/>
      <c r="L7" s="42"/>
      <c r="M7" s="4"/>
      <c r="N7" s="4"/>
    </row>
    <row r="8" spans="1:14" ht="46.5" customHeight="1" thickBot="1" x14ac:dyDescent="0.5">
      <c r="A8" s="52">
        <v>22</v>
      </c>
      <c r="B8" s="19">
        <v>714</v>
      </c>
      <c r="C8" s="20" t="s">
        <v>24</v>
      </c>
      <c r="D8" s="15">
        <v>1</v>
      </c>
      <c r="E8" s="21" t="s">
        <v>76</v>
      </c>
      <c r="F8" s="21">
        <v>760212380</v>
      </c>
      <c r="G8" s="54">
        <f t="shared" si="0"/>
        <v>0</v>
      </c>
      <c r="H8" s="42"/>
      <c r="I8" s="4"/>
      <c r="J8" s="42">
        <v>47000</v>
      </c>
      <c r="K8" s="4"/>
      <c r="L8" s="42"/>
      <c r="M8" s="4"/>
      <c r="N8" s="4"/>
    </row>
    <row r="9" spans="1:14" ht="46.5" customHeight="1" thickBot="1" x14ac:dyDescent="0.5">
      <c r="A9" s="52">
        <v>4</v>
      </c>
      <c r="B9" s="19">
        <v>757</v>
      </c>
      <c r="C9" s="20" t="s">
        <v>118</v>
      </c>
      <c r="D9" s="15">
        <v>1</v>
      </c>
      <c r="E9" s="21" t="s">
        <v>62</v>
      </c>
      <c r="F9" s="21">
        <v>755315587</v>
      </c>
      <c r="G9" s="54">
        <f t="shared" si="0"/>
        <v>0</v>
      </c>
      <c r="H9" s="42"/>
      <c r="I9" s="4"/>
      <c r="J9" s="42">
        <v>36000</v>
      </c>
      <c r="K9" s="4"/>
      <c r="L9" s="42"/>
      <c r="M9" s="4"/>
      <c r="N9" s="4"/>
    </row>
    <row r="10" spans="1:14" ht="46.5" customHeight="1" thickBot="1" x14ac:dyDescent="0.5">
      <c r="A10" s="52">
        <v>12</v>
      </c>
      <c r="B10" s="19">
        <v>814</v>
      </c>
      <c r="C10" s="20" t="s">
        <v>113</v>
      </c>
      <c r="D10" s="15">
        <v>1</v>
      </c>
      <c r="E10" s="21"/>
      <c r="F10" s="21"/>
      <c r="G10" s="54">
        <f t="shared" si="0"/>
        <v>0</v>
      </c>
      <c r="H10" s="42"/>
      <c r="I10" s="4"/>
      <c r="J10" s="42">
        <v>36000</v>
      </c>
      <c r="K10" s="4"/>
      <c r="L10" s="42"/>
      <c r="M10" s="4"/>
      <c r="N10" s="4"/>
    </row>
    <row r="11" spans="1:14" ht="46.5" customHeight="1" thickBot="1" x14ac:dyDescent="0.5">
      <c r="A11" s="52">
        <v>1</v>
      </c>
      <c r="B11" s="17">
        <v>794</v>
      </c>
      <c r="C11" s="18" t="s">
        <v>10</v>
      </c>
      <c r="D11" s="15">
        <v>1</v>
      </c>
      <c r="E11" s="16" t="s">
        <v>59</v>
      </c>
      <c r="F11" s="16">
        <v>773305538</v>
      </c>
      <c r="G11" s="54">
        <f t="shared" si="0"/>
        <v>0</v>
      </c>
      <c r="H11" s="42"/>
      <c r="I11" s="4"/>
      <c r="J11" s="42">
        <v>12000</v>
      </c>
      <c r="K11" s="4"/>
      <c r="L11" s="42"/>
      <c r="M11" s="4"/>
      <c r="N11" s="4"/>
    </row>
    <row r="12" spans="1:14" ht="46.5" customHeight="1" thickBot="1" x14ac:dyDescent="0.5">
      <c r="A12" s="52">
        <v>2</v>
      </c>
      <c r="B12" s="17">
        <v>808</v>
      </c>
      <c r="C12" s="18" t="s">
        <v>8</v>
      </c>
      <c r="D12" s="15">
        <v>1</v>
      </c>
      <c r="E12" s="16" t="s">
        <v>60</v>
      </c>
      <c r="F12" s="16">
        <v>755681692</v>
      </c>
      <c r="G12" s="54">
        <f t="shared" si="0"/>
        <v>0</v>
      </c>
      <c r="H12" s="42"/>
      <c r="I12" s="4"/>
      <c r="J12" s="42">
        <v>0</v>
      </c>
      <c r="K12" s="4"/>
      <c r="L12" s="42"/>
      <c r="M12" s="4"/>
      <c r="N12" s="4"/>
    </row>
    <row r="13" spans="1:14" ht="46.5" customHeight="1" thickBot="1" x14ac:dyDescent="0.5">
      <c r="A13" s="52">
        <v>10</v>
      </c>
      <c r="B13" s="17">
        <v>805</v>
      </c>
      <c r="C13" s="18" t="s">
        <v>6</v>
      </c>
      <c r="D13" s="15">
        <v>1</v>
      </c>
      <c r="E13" s="16" t="s">
        <v>67</v>
      </c>
      <c r="F13" s="16">
        <v>771651813</v>
      </c>
      <c r="G13" s="54">
        <f t="shared" si="0"/>
        <v>0</v>
      </c>
      <c r="H13" s="42"/>
      <c r="I13" s="4"/>
      <c r="J13" s="42">
        <v>24000</v>
      </c>
      <c r="K13" s="4"/>
      <c r="L13" s="42"/>
      <c r="M13" s="4"/>
      <c r="N13" s="4"/>
    </row>
    <row r="14" spans="1:14" ht="46.5" customHeight="1" thickBot="1" x14ac:dyDescent="0.5">
      <c r="A14" s="52">
        <v>17</v>
      </c>
      <c r="B14" s="17">
        <v>740</v>
      </c>
      <c r="C14" s="18" t="s">
        <v>20</v>
      </c>
      <c r="D14" s="15">
        <v>1</v>
      </c>
      <c r="E14" s="16" t="s">
        <v>71</v>
      </c>
      <c r="F14" s="16">
        <v>776446193</v>
      </c>
      <c r="G14" s="54">
        <f t="shared" si="0"/>
        <v>0</v>
      </c>
      <c r="H14" s="42"/>
      <c r="I14" s="4"/>
      <c r="J14" s="42">
        <v>24000</v>
      </c>
      <c r="K14" s="4"/>
      <c r="L14" s="42"/>
      <c r="M14" s="4"/>
      <c r="N14" s="4"/>
    </row>
    <row r="15" spans="1:14" ht="46.5" customHeight="1" thickBot="1" x14ac:dyDescent="0.5">
      <c r="A15" s="52">
        <v>18</v>
      </c>
      <c r="B15" s="17">
        <v>702</v>
      </c>
      <c r="C15" s="18" t="s">
        <v>21</v>
      </c>
      <c r="D15" s="15">
        <v>1</v>
      </c>
      <c r="E15" s="77" t="s">
        <v>72</v>
      </c>
      <c r="F15" s="16">
        <v>775524094</v>
      </c>
      <c r="G15" s="54">
        <f t="shared" si="0"/>
        <v>0</v>
      </c>
      <c r="H15" s="42"/>
      <c r="I15" s="4"/>
      <c r="J15" s="42">
        <v>24000</v>
      </c>
      <c r="K15" s="4"/>
      <c r="L15" s="42"/>
      <c r="M15" s="4"/>
      <c r="N15" s="4"/>
    </row>
    <row r="16" spans="1:14" ht="46.5" customHeight="1" thickBot="1" x14ac:dyDescent="0.5">
      <c r="A16" s="52">
        <v>21</v>
      </c>
      <c r="B16" s="19">
        <v>679</v>
      </c>
      <c r="C16" s="20" t="s">
        <v>75</v>
      </c>
      <c r="D16" s="15">
        <v>1</v>
      </c>
      <c r="E16" s="21"/>
      <c r="F16" s="21"/>
      <c r="G16" s="54">
        <f t="shared" si="0"/>
        <v>0</v>
      </c>
      <c r="H16" s="42"/>
      <c r="I16" s="4"/>
      <c r="J16" s="42">
        <v>24000</v>
      </c>
      <c r="K16" s="4"/>
      <c r="L16" s="42"/>
      <c r="M16" s="4"/>
      <c r="N16" s="4"/>
    </row>
    <row r="17" spans="1:14" ht="46.5" customHeight="1" thickBot="1" x14ac:dyDescent="0.5">
      <c r="A17" s="52">
        <v>13</v>
      </c>
      <c r="B17" s="13">
        <v>765</v>
      </c>
      <c r="C17" s="14" t="s">
        <v>8</v>
      </c>
      <c r="D17" s="15">
        <v>1</v>
      </c>
      <c r="E17" s="16" t="s">
        <v>65</v>
      </c>
      <c r="F17" s="16">
        <v>771791767</v>
      </c>
      <c r="G17" s="54">
        <f t="shared" si="0"/>
        <v>0</v>
      </c>
      <c r="H17" s="42"/>
      <c r="I17" s="4"/>
      <c r="J17" s="42">
        <v>20000</v>
      </c>
      <c r="K17" s="4"/>
      <c r="L17" s="42"/>
      <c r="M17" s="4"/>
      <c r="N17" s="4"/>
    </row>
    <row r="18" spans="1:14" ht="46.5" customHeight="1" thickBot="1" x14ac:dyDescent="0.5">
      <c r="A18" s="52">
        <v>3</v>
      </c>
      <c r="B18" s="17">
        <v>642</v>
      </c>
      <c r="C18" s="18" t="s">
        <v>11</v>
      </c>
      <c r="D18" s="15">
        <v>1</v>
      </c>
      <c r="E18" s="16" t="s">
        <v>61</v>
      </c>
      <c r="F18" s="16">
        <v>772586192</v>
      </c>
      <c r="G18" s="54">
        <f t="shared" si="0"/>
        <v>0</v>
      </c>
      <c r="H18" s="59"/>
      <c r="I18" s="4"/>
      <c r="J18" s="42">
        <v>10000</v>
      </c>
      <c r="K18" s="4"/>
      <c r="L18" s="42"/>
      <c r="M18" s="4"/>
      <c r="N18" s="4"/>
    </row>
    <row r="19" spans="1:14" ht="46.5" customHeight="1" thickBot="1" x14ac:dyDescent="0.5">
      <c r="A19" s="52">
        <v>5</v>
      </c>
      <c r="B19" s="22">
        <v>809</v>
      </c>
      <c r="C19" s="23" t="s">
        <v>13</v>
      </c>
      <c r="D19" s="56">
        <v>1</v>
      </c>
      <c r="E19" s="24"/>
      <c r="F19" s="24"/>
      <c r="G19" s="57" t="e">
        <f t="shared" si="0"/>
        <v>#VALUE!</v>
      </c>
      <c r="H19" s="91" t="s">
        <v>192</v>
      </c>
      <c r="I19" s="4"/>
      <c r="J19" s="42"/>
      <c r="K19" s="4"/>
      <c r="L19" s="42"/>
      <c r="M19" s="4"/>
      <c r="N19" s="4"/>
    </row>
    <row r="20" spans="1:14" ht="46.5" customHeight="1" thickBot="1" x14ac:dyDescent="0.5">
      <c r="A20" s="55">
        <v>8</v>
      </c>
      <c r="B20" s="22">
        <v>588</v>
      </c>
      <c r="C20" s="23" t="s">
        <v>16</v>
      </c>
      <c r="D20" s="56">
        <v>1</v>
      </c>
      <c r="E20" s="24" t="s">
        <v>65</v>
      </c>
      <c r="F20" s="24"/>
      <c r="G20" s="57" t="e">
        <f t="shared" si="0"/>
        <v>#VALUE!</v>
      </c>
      <c r="H20" s="91" t="s">
        <v>192</v>
      </c>
      <c r="I20" s="4"/>
      <c r="J20" s="42"/>
      <c r="K20" s="4"/>
      <c r="L20" s="42"/>
      <c r="M20" s="4"/>
      <c r="N20" s="4"/>
    </row>
    <row r="21" spans="1:14" s="47" customFormat="1" ht="46.5" customHeight="1" thickBot="1" x14ac:dyDescent="0.5">
      <c r="A21" s="52">
        <v>9</v>
      </c>
      <c r="B21" s="19">
        <v>589</v>
      </c>
      <c r="C21" s="20" t="s">
        <v>17</v>
      </c>
      <c r="D21" s="15">
        <v>1</v>
      </c>
      <c r="E21" s="21" t="s">
        <v>66</v>
      </c>
      <c r="F21" s="21">
        <v>752810706</v>
      </c>
      <c r="G21" s="54">
        <f t="shared" si="0"/>
        <v>0</v>
      </c>
      <c r="H21" s="59"/>
      <c r="I21" s="4"/>
      <c r="J21" s="42">
        <v>5500</v>
      </c>
      <c r="K21" s="4"/>
      <c r="L21" s="42"/>
      <c r="M21" s="4"/>
      <c r="N21" s="46"/>
    </row>
    <row r="22" spans="1:14" ht="46.5" customHeight="1" thickBot="1" x14ac:dyDescent="0.5">
      <c r="A22" s="52">
        <v>11</v>
      </c>
      <c r="B22" s="22">
        <v>790</v>
      </c>
      <c r="C22" s="23" t="s">
        <v>5</v>
      </c>
      <c r="D22" s="56">
        <v>1</v>
      </c>
      <c r="E22" s="24" t="s">
        <v>68</v>
      </c>
      <c r="F22" s="24">
        <v>779782493</v>
      </c>
      <c r="G22" s="57" t="e">
        <f t="shared" si="0"/>
        <v>#VALUE!</v>
      </c>
      <c r="H22" s="91" t="s">
        <v>192</v>
      </c>
      <c r="I22" s="4"/>
      <c r="J22" s="42"/>
      <c r="K22" s="4"/>
      <c r="L22" s="42"/>
      <c r="M22" s="4"/>
      <c r="N22" s="4"/>
    </row>
    <row r="23" spans="1:14" ht="46.5" customHeight="1" thickBot="1" x14ac:dyDescent="0.5">
      <c r="A23" s="55">
        <v>15</v>
      </c>
      <c r="B23" s="22">
        <v>796</v>
      </c>
      <c r="C23" s="23" t="s">
        <v>19</v>
      </c>
      <c r="D23" s="56">
        <v>1</v>
      </c>
      <c r="E23" s="24" t="s">
        <v>69</v>
      </c>
      <c r="F23" s="24">
        <v>771768067</v>
      </c>
      <c r="G23" s="57">
        <v>12000</v>
      </c>
      <c r="H23" s="68" t="s">
        <v>192</v>
      </c>
      <c r="I23" s="69"/>
      <c r="J23" s="58"/>
      <c r="K23" s="4"/>
      <c r="L23" s="42">
        <f t="shared" ref="L23" si="1">J23-K23</f>
        <v>0</v>
      </c>
      <c r="M23" s="4"/>
      <c r="N23" s="4"/>
    </row>
    <row r="24" spans="1:14" ht="46.5" customHeight="1" thickBot="1" x14ac:dyDescent="0.5">
      <c r="A24" s="52">
        <v>27</v>
      </c>
      <c r="B24" s="83">
        <v>785</v>
      </c>
      <c r="C24" s="86" t="s">
        <v>27</v>
      </c>
      <c r="D24" s="15">
        <v>2</v>
      </c>
      <c r="E24" s="24" t="s">
        <v>80</v>
      </c>
      <c r="F24" s="24">
        <v>763233055</v>
      </c>
      <c r="G24" s="54">
        <f t="shared" ref="G24:G44" si="2">H24/12000</f>
        <v>0</v>
      </c>
      <c r="H24" s="42"/>
      <c r="I24" s="4"/>
      <c r="J24" s="42">
        <v>98000</v>
      </c>
      <c r="K24" s="4"/>
      <c r="L24" s="42"/>
      <c r="M24" s="4"/>
      <c r="N24" s="2"/>
    </row>
    <row r="25" spans="1:14" ht="46.5" customHeight="1" thickBot="1" x14ac:dyDescent="0.5">
      <c r="A25" s="52">
        <v>31</v>
      </c>
      <c r="B25" s="17">
        <v>700</v>
      </c>
      <c r="C25" s="18" t="s">
        <v>30</v>
      </c>
      <c r="D25" s="15">
        <v>2</v>
      </c>
      <c r="E25" s="16" t="s">
        <v>84</v>
      </c>
      <c r="F25" s="16">
        <v>770088734</v>
      </c>
      <c r="G25" s="54">
        <f t="shared" si="2"/>
        <v>0</v>
      </c>
      <c r="H25" s="42"/>
      <c r="I25" s="4"/>
      <c r="J25" s="42">
        <v>96000</v>
      </c>
      <c r="K25" s="4"/>
      <c r="L25" s="42"/>
      <c r="M25" s="4"/>
      <c r="N25" s="2"/>
    </row>
    <row r="26" spans="1:14" ht="46.5" customHeight="1" thickBot="1" x14ac:dyDescent="0.5">
      <c r="A26" s="55">
        <v>40</v>
      </c>
      <c r="B26" s="88">
        <v>788</v>
      </c>
      <c r="C26" s="89" t="s">
        <v>196</v>
      </c>
      <c r="D26" s="90">
        <v>2</v>
      </c>
      <c r="E26" s="24"/>
      <c r="F26" s="24"/>
      <c r="G26" s="57"/>
      <c r="H26" s="58" t="s">
        <v>192</v>
      </c>
      <c r="I26" s="4"/>
      <c r="J26" s="42"/>
      <c r="K26" s="4"/>
      <c r="L26" s="42"/>
      <c r="M26" s="4"/>
      <c r="N26" s="2"/>
    </row>
    <row r="27" spans="1:14" ht="46.5" customHeight="1" thickBot="1" x14ac:dyDescent="0.5">
      <c r="A27" s="52">
        <v>25</v>
      </c>
      <c r="B27" s="92">
        <v>759</v>
      </c>
      <c r="C27" s="93" t="s">
        <v>12</v>
      </c>
      <c r="D27" s="65">
        <v>2</v>
      </c>
      <c r="E27" s="76" t="s">
        <v>79</v>
      </c>
      <c r="F27" s="76">
        <v>750144239</v>
      </c>
      <c r="G27" s="54">
        <f t="shared" si="2"/>
        <v>0</v>
      </c>
      <c r="H27" s="42"/>
      <c r="I27" s="4"/>
      <c r="J27" s="42">
        <v>48000</v>
      </c>
      <c r="K27" s="4"/>
      <c r="L27" s="42"/>
      <c r="M27" s="4"/>
      <c r="N27" s="2"/>
    </row>
    <row r="28" spans="1:14" ht="46.5" customHeight="1" thickBot="1" x14ac:dyDescent="0.5">
      <c r="A28" s="52">
        <v>33</v>
      </c>
      <c r="B28" s="17">
        <v>741</v>
      </c>
      <c r="C28" s="18" t="s">
        <v>32</v>
      </c>
      <c r="D28" s="15">
        <v>2</v>
      </c>
      <c r="E28" s="16" t="s">
        <v>86</v>
      </c>
      <c r="F28" s="16">
        <v>754214680</v>
      </c>
      <c r="G28" s="54">
        <f t="shared" si="2"/>
        <v>0</v>
      </c>
      <c r="H28" s="42"/>
      <c r="I28" s="4"/>
      <c r="J28" s="42">
        <v>48000</v>
      </c>
      <c r="K28" s="4"/>
      <c r="L28" s="42"/>
      <c r="M28" s="4"/>
      <c r="N28" s="2"/>
    </row>
    <row r="29" spans="1:14" ht="46.5" customHeight="1" thickBot="1" x14ac:dyDescent="0.5">
      <c r="A29" s="52">
        <v>29</v>
      </c>
      <c r="B29" s="17">
        <v>694</v>
      </c>
      <c r="C29" s="18" t="s">
        <v>116</v>
      </c>
      <c r="D29" s="15">
        <v>2</v>
      </c>
      <c r="E29" s="16" t="s">
        <v>82</v>
      </c>
      <c r="F29" s="16">
        <v>760764539</v>
      </c>
      <c r="G29" s="54">
        <f t="shared" si="2"/>
        <v>0</v>
      </c>
      <c r="H29" s="42"/>
      <c r="I29" s="4"/>
      <c r="J29" s="42">
        <v>42000</v>
      </c>
      <c r="K29" s="4"/>
      <c r="L29" s="42"/>
      <c r="M29" s="4"/>
      <c r="N29" s="2"/>
    </row>
    <row r="30" spans="1:14" ht="46.5" customHeight="1" thickBot="1" x14ac:dyDescent="0.5">
      <c r="A30" s="52">
        <v>23</v>
      </c>
      <c r="B30" s="17">
        <v>745</v>
      </c>
      <c r="C30" s="18" t="s">
        <v>9</v>
      </c>
      <c r="D30" s="15">
        <v>2</v>
      </c>
      <c r="E30" s="16" t="s">
        <v>77</v>
      </c>
      <c r="F30" s="16">
        <v>754623332</v>
      </c>
      <c r="G30" s="54">
        <f t="shared" si="2"/>
        <v>0</v>
      </c>
      <c r="H30" s="42"/>
      <c r="I30" s="4"/>
      <c r="J30" s="42">
        <v>36000</v>
      </c>
      <c r="K30" s="4"/>
      <c r="L30" s="42"/>
      <c r="M30" s="4"/>
      <c r="N30" s="2"/>
    </row>
    <row r="31" spans="1:14" ht="46.5" customHeight="1" thickBot="1" x14ac:dyDescent="0.5">
      <c r="A31" s="52">
        <v>26</v>
      </c>
      <c r="B31" s="92">
        <v>761</v>
      </c>
      <c r="C31" s="93" t="s">
        <v>26</v>
      </c>
      <c r="D31" s="65">
        <v>2</v>
      </c>
      <c r="E31" s="76" t="s">
        <v>79</v>
      </c>
      <c r="F31" s="76">
        <v>757020289</v>
      </c>
      <c r="G31" s="54">
        <f t="shared" si="2"/>
        <v>0</v>
      </c>
      <c r="H31" s="42"/>
      <c r="I31" s="4"/>
      <c r="J31" s="42">
        <v>36000</v>
      </c>
      <c r="K31" s="4"/>
      <c r="L31" s="42"/>
      <c r="M31" s="4"/>
      <c r="N31" s="2"/>
    </row>
    <row r="32" spans="1:14" ht="46.5" customHeight="1" thickBot="1" x14ac:dyDescent="0.5">
      <c r="A32" s="52">
        <v>36</v>
      </c>
      <c r="B32" s="17">
        <v>717</v>
      </c>
      <c r="C32" s="18" t="s">
        <v>8</v>
      </c>
      <c r="D32" s="15">
        <v>2</v>
      </c>
      <c r="E32" s="16" t="s">
        <v>89</v>
      </c>
      <c r="F32" s="16">
        <v>719952225</v>
      </c>
      <c r="G32" s="54">
        <f t="shared" si="2"/>
        <v>0</v>
      </c>
      <c r="H32" s="42"/>
      <c r="I32" s="4"/>
      <c r="J32" s="42">
        <v>36000</v>
      </c>
      <c r="K32" s="4"/>
      <c r="L32" s="42"/>
      <c r="M32" s="4"/>
      <c r="N32" s="2"/>
    </row>
    <row r="33" spans="1:14" ht="46.5" customHeight="1" thickBot="1" x14ac:dyDescent="0.5">
      <c r="A33" s="52">
        <v>24</v>
      </c>
      <c r="B33" s="17">
        <v>767</v>
      </c>
      <c r="C33" s="18" t="s">
        <v>25</v>
      </c>
      <c r="D33" s="15">
        <v>2</v>
      </c>
      <c r="E33" s="16" t="s">
        <v>78</v>
      </c>
      <c r="F33" s="16">
        <v>740268168</v>
      </c>
      <c r="G33" s="54">
        <f t="shared" si="2"/>
        <v>0</v>
      </c>
      <c r="H33" s="42"/>
      <c r="I33" s="4"/>
      <c r="J33" s="42">
        <v>0</v>
      </c>
      <c r="K33" s="4"/>
      <c r="L33" s="42"/>
      <c r="M33" s="4"/>
      <c r="N33" s="2"/>
    </row>
    <row r="34" spans="1:14" ht="46.5" customHeight="1" thickBot="1" x14ac:dyDescent="0.5">
      <c r="A34" s="52">
        <v>32</v>
      </c>
      <c r="B34" s="17">
        <v>781</v>
      </c>
      <c r="C34" s="18" t="s">
        <v>31</v>
      </c>
      <c r="D34" s="15">
        <v>2</v>
      </c>
      <c r="E34" s="16" t="s">
        <v>85</v>
      </c>
      <c r="F34" s="16">
        <v>755035062</v>
      </c>
      <c r="G34" s="54">
        <f t="shared" si="2"/>
        <v>0</v>
      </c>
      <c r="H34" s="42"/>
      <c r="I34" s="4"/>
      <c r="J34" s="42">
        <v>24000</v>
      </c>
      <c r="K34" s="4"/>
      <c r="L34" s="42"/>
      <c r="M34" s="4"/>
      <c r="N34" s="2"/>
    </row>
    <row r="35" spans="1:14" s="67" customFormat="1" ht="46.5" customHeight="1" thickBot="1" x14ac:dyDescent="0.5">
      <c r="A35" s="52">
        <v>34</v>
      </c>
      <c r="B35" s="63">
        <v>812</v>
      </c>
      <c r="C35" s="64" t="s">
        <v>4</v>
      </c>
      <c r="D35" s="65">
        <v>2</v>
      </c>
      <c r="E35" s="66" t="s">
        <v>88</v>
      </c>
      <c r="F35" s="66">
        <v>758282613</v>
      </c>
      <c r="G35" s="54">
        <f t="shared" si="2"/>
        <v>0</v>
      </c>
      <c r="H35" s="62"/>
      <c r="I35" s="4"/>
      <c r="J35" s="42">
        <v>24000</v>
      </c>
      <c r="K35" s="4"/>
      <c r="L35" s="42"/>
      <c r="M35" s="4"/>
      <c r="N35" s="61"/>
    </row>
    <row r="36" spans="1:14" ht="46.5" customHeight="1" thickBot="1" x14ac:dyDescent="0.5">
      <c r="A36" s="52">
        <v>38</v>
      </c>
      <c r="B36" s="82">
        <v>821</v>
      </c>
      <c r="C36" s="85" t="s">
        <v>194</v>
      </c>
      <c r="D36" s="60">
        <v>2</v>
      </c>
      <c r="E36" s="76"/>
      <c r="F36" s="76"/>
      <c r="G36" s="54">
        <f t="shared" si="2"/>
        <v>0</v>
      </c>
      <c r="H36" s="62"/>
      <c r="I36" s="4"/>
      <c r="J36" s="42">
        <v>24000</v>
      </c>
      <c r="K36" s="4"/>
      <c r="L36" s="42"/>
      <c r="M36" s="4"/>
      <c r="N36" s="2"/>
    </row>
    <row r="37" spans="1:14" ht="46.5" customHeight="1" thickBot="1" x14ac:dyDescent="0.5">
      <c r="A37" s="52">
        <v>28</v>
      </c>
      <c r="B37" s="17">
        <v>563</v>
      </c>
      <c r="C37" s="18" t="s">
        <v>28</v>
      </c>
      <c r="D37" s="15">
        <v>2</v>
      </c>
      <c r="E37" s="16" t="s">
        <v>81</v>
      </c>
      <c r="F37" s="16">
        <v>788446687</v>
      </c>
      <c r="G37" s="54">
        <f t="shared" si="2"/>
        <v>0</v>
      </c>
      <c r="H37" s="59"/>
      <c r="I37" s="4"/>
      <c r="J37" s="42">
        <v>12000</v>
      </c>
      <c r="K37" s="4"/>
      <c r="L37" s="42"/>
      <c r="M37" s="4"/>
      <c r="N37" s="2"/>
    </row>
    <row r="38" spans="1:14" ht="46.5" customHeight="1" x14ac:dyDescent="0.45">
      <c r="A38" s="55">
        <v>30</v>
      </c>
      <c r="B38" s="94">
        <v>739</v>
      </c>
      <c r="C38" s="95" t="s">
        <v>29</v>
      </c>
      <c r="D38" s="56">
        <v>2</v>
      </c>
      <c r="E38" s="96" t="s">
        <v>83</v>
      </c>
      <c r="F38" s="96">
        <v>752792388</v>
      </c>
      <c r="G38" s="57" t="e">
        <f t="shared" si="2"/>
        <v>#VALUE!</v>
      </c>
      <c r="H38" s="91" t="s">
        <v>192</v>
      </c>
      <c r="I38" s="69"/>
      <c r="J38" s="58"/>
      <c r="K38" s="4"/>
      <c r="L38" s="42"/>
      <c r="M38" s="4"/>
      <c r="N38" s="2"/>
    </row>
    <row r="39" spans="1:14" ht="46.5" customHeight="1" x14ac:dyDescent="0.45">
      <c r="A39" s="52">
        <v>35</v>
      </c>
      <c r="B39" s="74">
        <v>622</v>
      </c>
      <c r="C39" s="75" t="s">
        <v>33</v>
      </c>
      <c r="D39" s="15">
        <v>2</v>
      </c>
      <c r="E39" s="77" t="s">
        <v>87</v>
      </c>
      <c r="F39" s="77">
        <v>782008888</v>
      </c>
      <c r="G39" s="54">
        <f t="shared" si="2"/>
        <v>0</v>
      </c>
      <c r="H39" s="59"/>
      <c r="I39" s="4"/>
      <c r="J39" s="42">
        <v>12000</v>
      </c>
      <c r="K39" s="4"/>
      <c r="L39" s="42"/>
      <c r="M39" s="4"/>
      <c r="N39" s="4"/>
    </row>
    <row r="40" spans="1:14" ht="46.5" customHeight="1" x14ac:dyDescent="0.45">
      <c r="A40" s="52"/>
      <c r="B40" s="52">
        <v>39</v>
      </c>
      <c r="C40" s="81">
        <v>690</v>
      </c>
      <c r="D40" s="84" t="s">
        <v>195</v>
      </c>
      <c r="E40" s="60">
        <v>2</v>
      </c>
      <c r="F40" s="87"/>
      <c r="G40" s="87"/>
      <c r="H40" s="54">
        <f t="shared" ref="H40" si="3">I40/12000</f>
        <v>0</v>
      </c>
      <c r="I40" s="4"/>
      <c r="J40" s="42">
        <v>12000</v>
      </c>
      <c r="K40" s="4"/>
      <c r="L40" s="42"/>
      <c r="M40" s="4"/>
      <c r="N40" s="4"/>
    </row>
    <row r="41" spans="1:14" ht="46.5" customHeight="1" thickBot="1" x14ac:dyDescent="0.5">
      <c r="A41" s="52"/>
      <c r="B41" s="81"/>
      <c r="C41" s="84"/>
      <c r="D41" s="60"/>
      <c r="E41" s="87"/>
      <c r="F41" s="87"/>
      <c r="G41" s="54">
        <f t="shared" si="2"/>
        <v>0</v>
      </c>
      <c r="H41" s="59"/>
      <c r="I41" s="4"/>
      <c r="J41" s="42"/>
      <c r="K41" s="4"/>
      <c r="L41" s="42"/>
      <c r="M41" s="4"/>
      <c r="N41" s="4"/>
    </row>
    <row r="42" spans="1:14" ht="46.5" customHeight="1" thickBot="1" x14ac:dyDescent="0.5">
      <c r="A42" s="52">
        <v>43</v>
      </c>
      <c r="B42" s="25">
        <v>581</v>
      </c>
      <c r="C42" s="26" t="s">
        <v>35</v>
      </c>
      <c r="D42" s="27">
        <v>3</v>
      </c>
      <c r="E42" s="28" t="s">
        <v>92</v>
      </c>
      <c r="F42" s="28">
        <v>770632400</v>
      </c>
      <c r="G42" s="54">
        <f t="shared" si="2"/>
        <v>4</v>
      </c>
      <c r="H42" s="42">
        <v>48000</v>
      </c>
      <c r="I42" s="4">
        <v>12000</v>
      </c>
      <c r="J42" s="42">
        <f t="shared" ref="J42:J44" si="4">H42+I42</f>
        <v>60000</v>
      </c>
      <c r="K42" s="4"/>
      <c r="L42" s="42">
        <f t="shared" ref="L42:L44" si="5">J42-K42</f>
        <v>60000</v>
      </c>
      <c r="M42" s="4"/>
      <c r="N42" s="2"/>
    </row>
    <row r="43" spans="1:14" ht="46.5" customHeight="1" thickBot="1" x14ac:dyDescent="0.5">
      <c r="A43" s="52">
        <v>41</v>
      </c>
      <c r="B43" s="29">
        <v>468</v>
      </c>
      <c r="C43" s="30" t="s">
        <v>58</v>
      </c>
      <c r="D43" s="27">
        <v>3</v>
      </c>
      <c r="E43" s="28" t="s">
        <v>90</v>
      </c>
      <c r="F43" s="28">
        <v>776472485</v>
      </c>
      <c r="G43" s="54">
        <f t="shared" si="2"/>
        <v>2.3333333333333335</v>
      </c>
      <c r="H43" s="42">
        <v>28000</v>
      </c>
      <c r="I43" s="4">
        <v>12000</v>
      </c>
      <c r="J43" s="42">
        <f t="shared" si="4"/>
        <v>40000</v>
      </c>
      <c r="K43" s="4"/>
      <c r="L43" s="42">
        <f t="shared" si="5"/>
        <v>40000</v>
      </c>
      <c r="M43" s="4"/>
      <c r="N43" s="2"/>
    </row>
    <row r="44" spans="1:14" ht="46.5" customHeight="1" thickBot="1" x14ac:dyDescent="0.5">
      <c r="A44" s="52">
        <v>44</v>
      </c>
      <c r="B44" s="29">
        <v>655</v>
      </c>
      <c r="C44" s="30" t="s">
        <v>36</v>
      </c>
      <c r="D44" s="27">
        <v>3</v>
      </c>
      <c r="E44" s="28" t="s">
        <v>93</v>
      </c>
      <c r="F44" s="28">
        <v>766754615</v>
      </c>
      <c r="G44" s="54">
        <f t="shared" si="2"/>
        <v>2</v>
      </c>
      <c r="H44" s="42">
        <v>24000</v>
      </c>
      <c r="I44" s="4">
        <v>12000</v>
      </c>
      <c r="J44" s="42">
        <f t="shared" si="4"/>
        <v>36000</v>
      </c>
      <c r="K44" s="4"/>
      <c r="L44" s="42">
        <f t="shared" si="5"/>
        <v>36000</v>
      </c>
      <c r="M44" s="4"/>
      <c r="N44" s="2"/>
    </row>
    <row r="45" spans="1:14" ht="46.5" customHeight="1" thickBot="1" x14ac:dyDescent="0.5">
      <c r="A45" s="52">
        <v>42</v>
      </c>
      <c r="B45" s="17">
        <v>469</v>
      </c>
      <c r="C45" s="18" t="s">
        <v>34</v>
      </c>
      <c r="D45" s="15">
        <v>3</v>
      </c>
      <c r="E45" s="16" t="s">
        <v>91</v>
      </c>
      <c r="F45" s="16">
        <v>752226853</v>
      </c>
      <c r="G45" s="54"/>
      <c r="H45" s="42"/>
      <c r="I45" s="4"/>
      <c r="J45" s="42">
        <v>24000</v>
      </c>
      <c r="K45" s="4"/>
      <c r="L45" s="42"/>
      <c r="M45" s="4"/>
      <c r="N45" s="2"/>
    </row>
    <row r="46" spans="1:14" ht="46.5" customHeight="1" thickBot="1" x14ac:dyDescent="0.5">
      <c r="A46" s="52">
        <v>46</v>
      </c>
      <c r="B46" s="17">
        <v>716</v>
      </c>
      <c r="C46" s="18" t="s">
        <v>38</v>
      </c>
      <c r="D46" s="15">
        <v>3</v>
      </c>
      <c r="E46" s="16" t="s">
        <v>95</v>
      </c>
      <c r="F46" s="16">
        <v>756711685</v>
      </c>
      <c r="G46" s="54"/>
      <c r="H46" s="42"/>
      <c r="I46" s="4"/>
      <c r="J46" s="42">
        <v>12000</v>
      </c>
      <c r="K46" s="4"/>
      <c r="L46" s="42"/>
      <c r="M46" s="4"/>
      <c r="N46" s="2"/>
    </row>
    <row r="47" spans="1:14" ht="46.5" customHeight="1" thickBot="1" x14ac:dyDescent="0.5">
      <c r="A47" s="52">
        <v>47</v>
      </c>
      <c r="B47" s="17">
        <v>594</v>
      </c>
      <c r="C47" s="18" t="s">
        <v>39</v>
      </c>
      <c r="D47" s="15">
        <v>3</v>
      </c>
      <c r="E47" s="16" t="s">
        <v>96</v>
      </c>
      <c r="F47" s="16">
        <v>757859266</v>
      </c>
      <c r="G47" s="54"/>
      <c r="H47" s="42"/>
      <c r="I47" s="4"/>
      <c r="J47" s="42">
        <v>24000</v>
      </c>
      <c r="K47" s="4"/>
      <c r="L47" s="42"/>
      <c r="M47" s="4"/>
      <c r="N47" s="2"/>
    </row>
    <row r="48" spans="1:14" ht="46.5" customHeight="1" thickBot="1" x14ac:dyDescent="0.5">
      <c r="A48" s="52">
        <v>45</v>
      </c>
      <c r="B48" s="17">
        <v>679</v>
      </c>
      <c r="C48" s="18" t="s">
        <v>37</v>
      </c>
      <c r="D48" s="15">
        <v>3</v>
      </c>
      <c r="E48" s="16" t="s">
        <v>94</v>
      </c>
      <c r="F48" s="16">
        <v>777190920</v>
      </c>
      <c r="G48" s="54"/>
      <c r="H48" s="59"/>
      <c r="I48" s="4"/>
      <c r="J48" s="42"/>
      <c r="K48" s="4"/>
      <c r="L48" s="42"/>
      <c r="M48" s="4"/>
      <c r="N48" s="2"/>
    </row>
    <row r="49" spans="1:14" ht="46.5" customHeight="1" thickBot="1" x14ac:dyDescent="0.5">
      <c r="A49" s="52">
        <v>48</v>
      </c>
      <c r="B49" s="17">
        <v>657</v>
      </c>
      <c r="C49" s="18" t="s">
        <v>40</v>
      </c>
      <c r="D49" s="15">
        <v>3</v>
      </c>
      <c r="E49" s="16" t="s">
        <v>97</v>
      </c>
      <c r="F49" s="16">
        <v>779003887</v>
      </c>
      <c r="G49" s="54"/>
      <c r="H49" s="42"/>
      <c r="I49" s="4"/>
      <c r="J49" s="42">
        <v>12000</v>
      </c>
      <c r="K49" s="4"/>
      <c r="L49" s="42"/>
      <c r="M49" s="4"/>
      <c r="N49" s="2"/>
    </row>
    <row r="50" spans="1:14" ht="46.5" customHeight="1" thickBot="1" x14ac:dyDescent="0.5">
      <c r="A50" s="55">
        <v>49</v>
      </c>
      <c r="B50" s="22">
        <v>820</v>
      </c>
      <c r="C50" s="23" t="s">
        <v>197</v>
      </c>
      <c r="D50" s="56">
        <v>3</v>
      </c>
      <c r="E50" s="24"/>
      <c r="F50" s="24"/>
      <c r="G50" s="57"/>
      <c r="H50" s="68" t="s">
        <v>217</v>
      </c>
      <c r="I50" s="69"/>
      <c r="J50" s="58"/>
      <c r="K50" s="4"/>
      <c r="L50" s="42"/>
      <c r="M50" s="4"/>
      <c r="N50" s="4"/>
    </row>
    <row r="51" spans="1:14" ht="46.5" customHeight="1" thickBot="1" x14ac:dyDescent="0.5">
      <c r="A51" s="52">
        <v>50</v>
      </c>
      <c r="B51" s="31">
        <v>411</v>
      </c>
      <c r="C51" s="32" t="s">
        <v>41</v>
      </c>
      <c r="D51" s="33">
        <v>4</v>
      </c>
      <c r="E51" s="34" t="s">
        <v>98</v>
      </c>
      <c r="F51" s="34">
        <v>754350305</v>
      </c>
      <c r="G51" s="54"/>
      <c r="H51" s="42"/>
      <c r="I51" s="4"/>
      <c r="J51" s="42">
        <v>58000</v>
      </c>
      <c r="K51" s="4"/>
      <c r="L51" s="42"/>
      <c r="M51" s="4"/>
      <c r="N51" s="2"/>
    </row>
    <row r="52" spans="1:14" ht="46.5" customHeight="1" thickBot="1" x14ac:dyDescent="0.5">
      <c r="A52" s="52">
        <v>55</v>
      </c>
      <c r="B52" s="35">
        <v>654</v>
      </c>
      <c r="C52" s="36" t="s">
        <v>46</v>
      </c>
      <c r="D52" s="15">
        <v>4</v>
      </c>
      <c r="E52" s="34" t="s">
        <v>103</v>
      </c>
      <c r="F52" s="34">
        <v>777119983</v>
      </c>
      <c r="G52" s="54"/>
      <c r="H52" s="42"/>
      <c r="I52" s="4"/>
      <c r="J52" s="42">
        <v>36000</v>
      </c>
      <c r="K52" s="4"/>
      <c r="L52" s="42"/>
      <c r="M52" s="4"/>
      <c r="N52" s="2"/>
    </row>
    <row r="53" spans="1:14" ht="46.5" customHeight="1" thickBot="1" x14ac:dyDescent="0.5">
      <c r="A53" s="52">
        <v>57</v>
      </c>
      <c r="B53" s="35">
        <v>658</v>
      </c>
      <c r="C53" s="36" t="s">
        <v>48</v>
      </c>
      <c r="D53" s="15">
        <v>4</v>
      </c>
      <c r="E53" s="34" t="s">
        <v>105</v>
      </c>
      <c r="F53" s="34">
        <v>776494608</v>
      </c>
      <c r="G53" s="54"/>
      <c r="H53" s="42"/>
      <c r="I53" s="4"/>
      <c r="J53" s="42">
        <v>36000</v>
      </c>
      <c r="K53" s="4"/>
      <c r="L53" s="42"/>
      <c r="M53" s="4"/>
      <c r="N53" s="2"/>
    </row>
    <row r="54" spans="1:14" ht="46.5" customHeight="1" thickBot="1" x14ac:dyDescent="0.5">
      <c r="A54" s="52">
        <v>59</v>
      </c>
      <c r="B54" s="35">
        <v>664</v>
      </c>
      <c r="C54" s="36" t="s">
        <v>50</v>
      </c>
      <c r="D54" s="15">
        <v>4</v>
      </c>
      <c r="E54" s="34" t="s">
        <v>106</v>
      </c>
      <c r="F54" s="34"/>
      <c r="G54" s="54"/>
      <c r="H54" s="42"/>
      <c r="I54" s="4"/>
      <c r="J54" s="42">
        <v>36000</v>
      </c>
      <c r="K54" s="4"/>
      <c r="L54" s="42"/>
      <c r="M54" s="4"/>
      <c r="N54" s="2"/>
    </row>
    <row r="55" spans="1:14" ht="46.5" customHeight="1" thickBot="1" x14ac:dyDescent="0.5">
      <c r="A55" s="52">
        <v>60</v>
      </c>
      <c r="B55" s="17">
        <v>681</v>
      </c>
      <c r="C55" s="18" t="s">
        <v>51</v>
      </c>
      <c r="D55" s="15">
        <v>4</v>
      </c>
      <c r="E55" s="16"/>
      <c r="F55" s="16"/>
      <c r="G55" s="54"/>
      <c r="H55" s="42"/>
      <c r="I55" s="4"/>
      <c r="J55" s="42">
        <v>24000</v>
      </c>
      <c r="K55" s="4"/>
      <c r="L55" s="42"/>
      <c r="M55" s="4"/>
      <c r="N55" s="2"/>
    </row>
    <row r="56" spans="1:14" ht="46.5" customHeight="1" thickBot="1" x14ac:dyDescent="0.5">
      <c r="A56" s="52">
        <v>51</v>
      </c>
      <c r="B56" s="17">
        <v>476</v>
      </c>
      <c r="C56" s="18" t="s">
        <v>42</v>
      </c>
      <c r="D56" s="15">
        <v>4</v>
      </c>
      <c r="E56" s="16" t="s">
        <v>99</v>
      </c>
      <c r="F56" s="16">
        <v>757941640</v>
      </c>
      <c r="G56" s="54"/>
      <c r="H56" s="42"/>
      <c r="I56" s="4"/>
      <c r="J56" s="42">
        <v>24000</v>
      </c>
      <c r="K56" s="4"/>
      <c r="L56" s="42"/>
      <c r="M56" s="4"/>
      <c r="N56" s="2"/>
    </row>
    <row r="57" spans="1:14" ht="46.5" customHeight="1" thickBot="1" x14ac:dyDescent="0.5">
      <c r="A57" s="52">
        <v>56</v>
      </c>
      <c r="B57" s="35">
        <v>653</v>
      </c>
      <c r="C57" s="36" t="s">
        <v>47</v>
      </c>
      <c r="D57" s="15">
        <v>4</v>
      </c>
      <c r="E57" s="34" t="s">
        <v>104</v>
      </c>
      <c r="F57" s="34">
        <v>768580010</v>
      </c>
      <c r="G57" s="54"/>
      <c r="H57" s="42"/>
      <c r="I57" s="4"/>
      <c r="J57" s="42">
        <v>14000</v>
      </c>
      <c r="K57" s="4"/>
      <c r="L57" s="42"/>
      <c r="M57" s="4"/>
      <c r="N57" s="2"/>
    </row>
    <row r="58" spans="1:14" ht="46.5" customHeight="1" thickBot="1" x14ac:dyDescent="0.5">
      <c r="A58" s="52">
        <v>52</v>
      </c>
      <c r="B58" s="17">
        <v>533</v>
      </c>
      <c r="C58" s="18" t="s">
        <v>43</v>
      </c>
      <c r="D58" s="15">
        <v>4</v>
      </c>
      <c r="E58" s="16" t="s">
        <v>100</v>
      </c>
      <c r="F58" s="16">
        <v>777558035</v>
      </c>
      <c r="G58" s="54"/>
      <c r="H58" s="59"/>
      <c r="I58" s="4"/>
      <c r="J58" s="42">
        <v>0</v>
      </c>
      <c r="K58" s="4"/>
      <c r="L58" s="42"/>
      <c r="M58" s="4"/>
      <c r="N58" s="2"/>
    </row>
    <row r="59" spans="1:14" ht="46.5" customHeight="1" thickBot="1" x14ac:dyDescent="0.5">
      <c r="A59" s="52">
        <v>53</v>
      </c>
      <c r="B59" s="17">
        <v>523</v>
      </c>
      <c r="C59" s="18" t="s">
        <v>44</v>
      </c>
      <c r="D59" s="15">
        <v>4</v>
      </c>
      <c r="E59" s="16" t="s">
        <v>101</v>
      </c>
      <c r="F59" s="16">
        <v>777062222</v>
      </c>
      <c r="G59" s="54"/>
      <c r="H59" s="59"/>
      <c r="I59" s="4"/>
      <c r="J59" s="42">
        <v>12000</v>
      </c>
      <c r="K59" s="4"/>
      <c r="L59" s="42"/>
      <c r="M59" s="4"/>
      <c r="N59" s="2"/>
    </row>
    <row r="60" spans="1:14" ht="46.5" customHeight="1" thickBot="1" x14ac:dyDescent="0.5">
      <c r="A60" s="55">
        <v>54</v>
      </c>
      <c r="B60" s="22">
        <v>656</v>
      </c>
      <c r="C60" s="23" t="s">
        <v>45</v>
      </c>
      <c r="D60" s="56">
        <v>4</v>
      </c>
      <c r="E60" s="24" t="s">
        <v>102</v>
      </c>
      <c r="F60" s="24">
        <v>757906198</v>
      </c>
      <c r="G60" s="57" t="s">
        <v>217</v>
      </c>
      <c r="H60" s="59"/>
      <c r="I60" s="4"/>
      <c r="J60" s="42"/>
      <c r="K60" s="4"/>
      <c r="L60" s="42"/>
      <c r="M60" s="4"/>
      <c r="N60" s="2"/>
    </row>
    <row r="61" spans="1:14" ht="46.5" customHeight="1" thickBot="1" x14ac:dyDescent="0.5">
      <c r="A61" s="52">
        <v>58</v>
      </c>
      <c r="B61" s="17">
        <v>663</v>
      </c>
      <c r="C61" s="18" t="s">
        <v>49</v>
      </c>
      <c r="D61" s="33">
        <v>4</v>
      </c>
      <c r="E61" s="77" t="s">
        <v>114</v>
      </c>
      <c r="F61" s="77">
        <v>772805276</v>
      </c>
      <c r="G61" s="54"/>
      <c r="H61" s="59"/>
      <c r="I61" s="4"/>
      <c r="J61" s="42">
        <v>12000</v>
      </c>
      <c r="K61" s="4"/>
      <c r="L61" s="42"/>
      <c r="M61" s="4"/>
      <c r="N61" s="2"/>
    </row>
    <row r="62" spans="1:14" ht="46.5" customHeight="1" thickBot="1" x14ac:dyDescent="0.5">
      <c r="A62" s="52">
        <v>61</v>
      </c>
      <c r="B62" s="13">
        <v>406</v>
      </c>
      <c r="C62" s="14" t="s">
        <v>52</v>
      </c>
      <c r="D62" s="15">
        <v>5</v>
      </c>
      <c r="E62" s="16" t="s">
        <v>107</v>
      </c>
      <c r="F62" s="16">
        <v>751732007</v>
      </c>
      <c r="G62" s="54"/>
      <c r="H62" s="42"/>
      <c r="I62" s="4"/>
      <c r="J62" s="42">
        <v>24000</v>
      </c>
      <c r="K62" s="4"/>
      <c r="L62" s="42"/>
      <c r="M62" s="4"/>
      <c r="N62" s="2"/>
    </row>
    <row r="63" spans="1:14" ht="46.5" customHeight="1" thickBot="1" x14ac:dyDescent="0.5">
      <c r="A63" s="52">
        <v>62</v>
      </c>
      <c r="B63" s="17">
        <v>424</v>
      </c>
      <c r="C63" s="18" t="s">
        <v>53</v>
      </c>
      <c r="D63" s="15">
        <v>5</v>
      </c>
      <c r="E63" s="16" t="s">
        <v>108</v>
      </c>
      <c r="F63" s="16">
        <v>755042499</v>
      </c>
      <c r="G63" s="54"/>
      <c r="H63" s="59"/>
      <c r="I63" s="4"/>
      <c r="J63" s="42">
        <v>12000</v>
      </c>
      <c r="K63" s="4"/>
      <c r="L63" s="42"/>
      <c r="M63" s="4"/>
      <c r="N63" s="2"/>
    </row>
    <row r="64" spans="1:14" ht="46.5" customHeight="1" thickBot="1" x14ac:dyDescent="0.5">
      <c r="A64" s="52">
        <v>63</v>
      </c>
      <c r="B64" s="37">
        <v>369</v>
      </c>
      <c r="C64" s="38" t="s">
        <v>54</v>
      </c>
      <c r="D64" s="39">
        <v>7</v>
      </c>
      <c r="E64" s="40" t="s">
        <v>109</v>
      </c>
      <c r="F64" s="40">
        <v>750972003</v>
      </c>
      <c r="G64" s="54">
        <v>120000</v>
      </c>
      <c r="H64" s="42"/>
      <c r="I64" s="4"/>
      <c r="J64" s="42">
        <v>120000</v>
      </c>
      <c r="K64" s="4"/>
      <c r="L64" s="42"/>
      <c r="M64" s="4"/>
    </row>
    <row r="65" spans="1:13" ht="46.5" customHeight="1" thickBot="1" x14ac:dyDescent="0.5">
      <c r="A65" s="52">
        <v>64</v>
      </c>
      <c r="B65" s="17">
        <v>571</v>
      </c>
      <c r="C65" s="18" t="s">
        <v>55</v>
      </c>
      <c r="D65" s="15">
        <v>7</v>
      </c>
      <c r="E65" s="16" t="s">
        <v>110</v>
      </c>
      <c r="F65" s="16">
        <v>770454533</v>
      </c>
      <c r="G65" s="54">
        <v>60000</v>
      </c>
      <c r="H65" s="42"/>
      <c r="I65" s="4"/>
      <c r="J65" s="42">
        <v>60000</v>
      </c>
      <c r="K65" s="4"/>
      <c r="L65" s="42"/>
      <c r="M65" s="4"/>
    </row>
    <row r="66" spans="1:13" ht="46.5" customHeight="1" thickBot="1" x14ac:dyDescent="0.5">
      <c r="A66" s="52">
        <v>66</v>
      </c>
      <c r="B66" s="17">
        <v>501</v>
      </c>
      <c r="C66" s="18" t="s">
        <v>57</v>
      </c>
      <c r="D66" s="15">
        <v>7</v>
      </c>
      <c r="E66" s="16" t="s">
        <v>112</v>
      </c>
      <c r="F66" s="16">
        <v>763820097</v>
      </c>
      <c r="G66" s="54">
        <v>24000</v>
      </c>
      <c r="H66" s="42"/>
      <c r="I66" s="4"/>
      <c r="J66" s="42">
        <v>24000</v>
      </c>
      <c r="K66" s="4"/>
      <c r="L66" s="42"/>
      <c r="M66" s="4"/>
    </row>
    <row r="67" spans="1:13" ht="46.5" customHeight="1" thickBot="1" x14ac:dyDescent="0.5">
      <c r="A67" s="52">
        <v>65</v>
      </c>
      <c r="B67" s="17">
        <v>510</v>
      </c>
      <c r="C67" s="18" t="s">
        <v>56</v>
      </c>
      <c r="D67" s="15">
        <v>7</v>
      </c>
      <c r="E67" s="16" t="s">
        <v>111</v>
      </c>
      <c r="F67" s="16">
        <v>774229299</v>
      </c>
      <c r="G67" s="54"/>
      <c r="H67" s="59"/>
      <c r="I67" s="4"/>
      <c r="J67" s="42">
        <v>10000</v>
      </c>
      <c r="K67" s="4"/>
      <c r="L67" s="42"/>
      <c r="M67" s="4"/>
    </row>
    <row r="68" spans="1:13" ht="46.5" customHeight="1" thickBot="1" x14ac:dyDescent="0.6">
      <c r="A68" s="52">
        <v>70</v>
      </c>
      <c r="B68" s="7">
        <v>744</v>
      </c>
      <c r="C68" s="5" t="s">
        <v>124</v>
      </c>
      <c r="D68" s="11" t="s">
        <v>190</v>
      </c>
      <c r="E68" s="3" t="s">
        <v>125</v>
      </c>
      <c r="F68" s="3">
        <v>759888525</v>
      </c>
      <c r="G68" s="54">
        <f t="shared" ref="G68:G82" si="6">H68/12000</f>
        <v>0</v>
      </c>
      <c r="H68" s="42"/>
      <c r="I68" s="4"/>
      <c r="J68" s="42">
        <v>96000</v>
      </c>
      <c r="K68" s="4"/>
      <c r="L68" s="42"/>
      <c r="M68" s="4"/>
    </row>
    <row r="69" spans="1:13" ht="46.5" customHeight="1" thickBot="1" x14ac:dyDescent="0.6">
      <c r="A69" s="52">
        <v>75</v>
      </c>
      <c r="B69" s="8">
        <v>728</v>
      </c>
      <c r="C69" s="6" t="s">
        <v>134</v>
      </c>
      <c r="D69" s="11" t="s">
        <v>190</v>
      </c>
      <c r="E69" s="3" t="s">
        <v>135</v>
      </c>
      <c r="F69" s="3">
        <v>777585711</v>
      </c>
      <c r="G69" s="54">
        <f t="shared" si="6"/>
        <v>0</v>
      </c>
      <c r="H69" s="42"/>
      <c r="I69" s="4"/>
      <c r="J69" s="42">
        <v>60000</v>
      </c>
      <c r="K69" s="4"/>
      <c r="L69" s="42"/>
      <c r="M69" s="4"/>
    </row>
    <row r="70" spans="1:13" ht="46.5" customHeight="1" thickBot="1" x14ac:dyDescent="0.6">
      <c r="A70" s="52">
        <v>93</v>
      </c>
      <c r="B70" s="72">
        <v>751</v>
      </c>
      <c r="C70" s="73" t="s">
        <v>166</v>
      </c>
      <c r="D70" s="70" t="s">
        <v>190</v>
      </c>
      <c r="E70" s="71" t="s">
        <v>167</v>
      </c>
      <c r="F70" s="71">
        <v>740458447</v>
      </c>
      <c r="G70" s="57" t="e">
        <f t="shared" si="6"/>
        <v>#VALUE!</v>
      </c>
      <c r="H70" s="58" t="s">
        <v>217</v>
      </c>
      <c r="I70" s="69"/>
      <c r="J70" s="42"/>
      <c r="K70" s="4"/>
      <c r="L70" s="42"/>
      <c r="M70" s="4"/>
    </row>
    <row r="71" spans="1:13" ht="46.5" customHeight="1" thickBot="1" x14ac:dyDescent="0.6">
      <c r="A71" s="52">
        <v>89</v>
      </c>
      <c r="B71" s="50">
        <v>763</v>
      </c>
      <c r="C71" s="51" t="s">
        <v>160</v>
      </c>
      <c r="D71" s="11" t="s">
        <v>190</v>
      </c>
      <c r="E71" s="3" t="s">
        <v>161</v>
      </c>
      <c r="F71" s="3">
        <v>777585711</v>
      </c>
      <c r="G71" s="54">
        <f t="shared" si="6"/>
        <v>0</v>
      </c>
      <c r="H71" s="42"/>
      <c r="I71" s="4"/>
      <c r="J71" s="42">
        <v>60000</v>
      </c>
      <c r="K71" s="4"/>
      <c r="L71" s="42"/>
      <c r="M71" s="4"/>
    </row>
    <row r="72" spans="1:13" ht="46.5" customHeight="1" thickBot="1" x14ac:dyDescent="0.6">
      <c r="A72" s="52">
        <v>84</v>
      </c>
      <c r="B72" s="50">
        <v>640</v>
      </c>
      <c r="C72" s="51" t="s">
        <v>151</v>
      </c>
      <c r="D72" s="11" t="s">
        <v>190</v>
      </c>
      <c r="E72" s="3" t="s">
        <v>152</v>
      </c>
      <c r="F72" s="3">
        <v>763541846</v>
      </c>
      <c r="G72" s="54">
        <f t="shared" si="6"/>
        <v>0</v>
      </c>
      <c r="H72" s="42"/>
      <c r="I72" s="4"/>
      <c r="J72" s="42">
        <v>52000</v>
      </c>
      <c r="K72" s="4"/>
      <c r="L72" s="42"/>
      <c r="M72" s="4"/>
    </row>
    <row r="73" spans="1:13" ht="46.5" customHeight="1" thickBot="1" x14ac:dyDescent="0.6">
      <c r="A73" s="52">
        <v>74</v>
      </c>
      <c r="B73" s="8">
        <v>734</v>
      </c>
      <c r="C73" s="6" t="s">
        <v>132</v>
      </c>
      <c r="D73" s="11" t="s">
        <v>190</v>
      </c>
      <c r="E73" s="3" t="s">
        <v>133</v>
      </c>
      <c r="F73" s="3">
        <v>784458866</v>
      </c>
      <c r="G73" s="54">
        <f t="shared" si="6"/>
        <v>0</v>
      </c>
      <c r="H73" s="42"/>
      <c r="I73" s="4"/>
      <c r="J73" s="42">
        <v>63000</v>
      </c>
      <c r="K73" s="4"/>
      <c r="L73" s="42"/>
      <c r="M73" s="4"/>
    </row>
    <row r="74" spans="1:13" ht="46.5" customHeight="1" thickBot="1" x14ac:dyDescent="0.6">
      <c r="A74" s="52">
        <v>86</v>
      </c>
      <c r="B74" s="50">
        <v>665</v>
      </c>
      <c r="C74" s="51" t="s">
        <v>155</v>
      </c>
      <c r="D74" s="11" t="s">
        <v>190</v>
      </c>
      <c r="E74" s="3" t="s">
        <v>137</v>
      </c>
      <c r="F74" s="3">
        <v>774398396</v>
      </c>
      <c r="G74" s="54">
        <f t="shared" si="6"/>
        <v>0</v>
      </c>
      <c r="H74" s="42"/>
      <c r="I74" s="4"/>
      <c r="J74" s="42">
        <v>61000</v>
      </c>
      <c r="K74" s="4"/>
      <c r="L74" s="42"/>
      <c r="M74" s="4"/>
    </row>
    <row r="75" spans="1:13" ht="46.5" customHeight="1" thickBot="1" x14ac:dyDescent="0.6">
      <c r="A75" s="52">
        <v>68</v>
      </c>
      <c r="B75" s="8">
        <v>735</v>
      </c>
      <c r="C75" s="6" t="s">
        <v>121</v>
      </c>
      <c r="D75" s="11" t="s">
        <v>190</v>
      </c>
      <c r="E75" s="3" t="s">
        <v>122</v>
      </c>
      <c r="F75" s="3">
        <v>755735103</v>
      </c>
      <c r="G75" s="54">
        <f t="shared" si="6"/>
        <v>0</v>
      </c>
      <c r="H75" s="42"/>
      <c r="I75" s="4"/>
      <c r="J75" s="42">
        <v>4000</v>
      </c>
      <c r="K75" s="4"/>
      <c r="L75" s="42"/>
      <c r="M75" s="4"/>
    </row>
    <row r="76" spans="1:13" ht="46.5" customHeight="1" thickBot="1" x14ac:dyDescent="0.6">
      <c r="A76" s="52">
        <v>81</v>
      </c>
      <c r="B76" s="50">
        <v>711</v>
      </c>
      <c r="C76" s="51" t="s">
        <v>145</v>
      </c>
      <c r="D76" s="11" t="s">
        <v>190</v>
      </c>
      <c r="E76" s="3" t="s">
        <v>146</v>
      </c>
      <c r="F76" s="3">
        <v>775158040</v>
      </c>
      <c r="G76" s="54">
        <f t="shared" si="6"/>
        <v>0</v>
      </c>
      <c r="H76" s="42"/>
      <c r="I76" s="4"/>
      <c r="J76" s="42">
        <v>58000</v>
      </c>
      <c r="K76" s="4"/>
      <c r="L76" s="42"/>
      <c r="M76" s="4"/>
    </row>
    <row r="77" spans="1:13" ht="46.5" customHeight="1" thickBot="1" x14ac:dyDescent="0.6">
      <c r="A77" s="52">
        <v>78</v>
      </c>
      <c r="B77" s="48">
        <v>643</v>
      </c>
      <c r="C77" s="49" t="s">
        <v>140</v>
      </c>
      <c r="D77" s="11" t="s">
        <v>190</v>
      </c>
      <c r="E77" s="3" t="s">
        <v>141</v>
      </c>
      <c r="F77" s="3">
        <v>773541846</v>
      </c>
      <c r="G77" s="54">
        <f t="shared" si="6"/>
        <v>0</v>
      </c>
      <c r="H77" s="42"/>
      <c r="I77" s="4"/>
      <c r="J77" s="42">
        <v>50000</v>
      </c>
      <c r="K77" s="4"/>
      <c r="L77" s="42"/>
      <c r="M77" s="4"/>
    </row>
    <row r="78" spans="1:13" ht="46.5" customHeight="1" thickBot="1" x14ac:dyDescent="0.6">
      <c r="A78" s="52">
        <v>104</v>
      </c>
      <c r="B78" s="50">
        <v>802</v>
      </c>
      <c r="C78" s="51" t="s">
        <v>181</v>
      </c>
      <c r="D78" s="11" t="s">
        <v>190</v>
      </c>
      <c r="E78" s="3" t="s">
        <v>182</v>
      </c>
      <c r="F78" s="3">
        <v>775034134</v>
      </c>
      <c r="G78" s="54">
        <f t="shared" si="6"/>
        <v>0</v>
      </c>
      <c r="H78" s="42"/>
      <c r="I78" s="4"/>
      <c r="J78" s="42">
        <v>24000</v>
      </c>
      <c r="K78" s="4"/>
      <c r="L78" s="42"/>
      <c r="M78" s="4"/>
    </row>
    <row r="79" spans="1:13" ht="46.5" customHeight="1" thickBot="1" x14ac:dyDescent="0.6">
      <c r="A79" s="52">
        <v>109</v>
      </c>
      <c r="B79" s="50">
        <v>801</v>
      </c>
      <c r="C79" s="51" t="s">
        <v>75</v>
      </c>
      <c r="D79" s="11" t="s">
        <v>190</v>
      </c>
      <c r="E79" s="3" t="s">
        <v>120</v>
      </c>
      <c r="F79" s="3">
        <v>776494608</v>
      </c>
      <c r="G79" s="54">
        <f t="shared" si="6"/>
        <v>0</v>
      </c>
      <c r="H79" s="42"/>
      <c r="I79" s="4"/>
      <c r="J79" s="42">
        <v>40000</v>
      </c>
      <c r="K79" s="4"/>
      <c r="L79" s="42"/>
      <c r="M79" s="4"/>
    </row>
    <row r="80" spans="1:13" ht="46.5" customHeight="1" thickBot="1" x14ac:dyDescent="0.6">
      <c r="A80" s="52">
        <v>82</v>
      </c>
      <c r="B80" s="50">
        <v>730</v>
      </c>
      <c r="C80" s="51" t="s">
        <v>147</v>
      </c>
      <c r="D80" s="11" t="s">
        <v>190</v>
      </c>
      <c r="E80" s="3" t="s">
        <v>148</v>
      </c>
      <c r="F80" s="3">
        <v>762399581</v>
      </c>
      <c r="G80" s="54">
        <f t="shared" si="6"/>
        <v>0</v>
      </c>
      <c r="H80" s="42"/>
      <c r="I80" s="4"/>
      <c r="J80" s="42">
        <v>36000</v>
      </c>
      <c r="K80" s="4"/>
      <c r="L80" s="42"/>
      <c r="M80" s="4"/>
    </row>
    <row r="81" spans="1:14" ht="46.5" customHeight="1" thickBot="1" x14ac:dyDescent="0.6">
      <c r="A81" s="52">
        <v>90</v>
      </c>
      <c r="B81" s="50">
        <v>783</v>
      </c>
      <c r="C81" s="51" t="s">
        <v>162</v>
      </c>
      <c r="D81" s="11" t="s">
        <v>190</v>
      </c>
      <c r="E81" s="3" t="s">
        <v>123</v>
      </c>
      <c r="F81" s="3">
        <v>754256016</v>
      </c>
      <c r="G81" s="54">
        <f t="shared" si="6"/>
        <v>0</v>
      </c>
      <c r="H81" s="42"/>
      <c r="I81" s="4"/>
      <c r="J81" s="42">
        <v>24000</v>
      </c>
      <c r="K81" s="4"/>
      <c r="L81" s="42"/>
      <c r="M81" s="4"/>
    </row>
    <row r="82" spans="1:14" ht="46.5" customHeight="1" thickBot="1" x14ac:dyDescent="0.6">
      <c r="A82" s="52">
        <v>91</v>
      </c>
      <c r="B82" s="50">
        <v>776</v>
      </c>
      <c r="C82" s="51" t="s">
        <v>163</v>
      </c>
      <c r="D82" s="11" t="s">
        <v>190</v>
      </c>
      <c r="E82" s="3" t="s">
        <v>164</v>
      </c>
      <c r="F82" s="3">
        <v>758088835</v>
      </c>
      <c r="G82" s="54">
        <f t="shared" si="6"/>
        <v>0</v>
      </c>
      <c r="H82" s="42"/>
      <c r="I82" s="4"/>
      <c r="J82" s="42">
        <v>24000</v>
      </c>
      <c r="K82" s="4"/>
      <c r="L82" s="42"/>
      <c r="M82" s="4"/>
    </row>
    <row r="83" spans="1:14" ht="46.5" customHeight="1" thickBot="1" x14ac:dyDescent="0.6">
      <c r="A83" s="52">
        <v>100</v>
      </c>
      <c r="B83" s="50">
        <v>800</v>
      </c>
      <c r="C83" s="51" t="s">
        <v>176</v>
      </c>
      <c r="D83" s="11" t="s">
        <v>190</v>
      </c>
      <c r="E83" s="3" t="s">
        <v>177</v>
      </c>
      <c r="F83" s="3">
        <v>773787133</v>
      </c>
      <c r="G83" s="54">
        <f t="shared" ref="G83:G114" si="7">H83/12000</f>
        <v>0</v>
      </c>
      <c r="H83" s="42"/>
      <c r="I83" s="4"/>
      <c r="J83" s="42">
        <v>36000</v>
      </c>
      <c r="K83" s="4"/>
      <c r="L83" s="42"/>
      <c r="M83" s="4"/>
    </row>
    <row r="84" spans="1:14" ht="46.5" customHeight="1" thickBot="1" x14ac:dyDescent="0.6">
      <c r="A84" s="52">
        <v>108</v>
      </c>
      <c r="B84" s="50">
        <v>810</v>
      </c>
      <c r="C84" s="51" t="s">
        <v>203</v>
      </c>
      <c r="D84" s="11" t="s">
        <v>190</v>
      </c>
      <c r="E84" s="3" t="s">
        <v>152</v>
      </c>
      <c r="F84" s="3">
        <v>774533534</v>
      </c>
      <c r="G84" s="54">
        <f t="shared" si="7"/>
        <v>0</v>
      </c>
      <c r="H84" s="42"/>
      <c r="I84" s="4"/>
      <c r="J84" s="42">
        <v>36000</v>
      </c>
      <c r="K84" s="4"/>
      <c r="L84" s="42"/>
      <c r="M84" s="4"/>
    </row>
    <row r="85" spans="1:14" ht="46.5" customHeight="1" thickBot="1" x14ac:dyDescent="0.6">
      <c r="A85" s="52">
        <v>112</v>
      </c>
      <c r="B85" s="50">
        <v>791</v>
      </c>
      <c r="C85" s="51" t="s">
        <v>188</v>
      </c>
      <c r="D85" s="11" t="s">
        <v>190</v>
      </c>
      <c r="E85" s="3" t="s">
        <v>189</v>
      </c>
      <c r="F85" s="3">
        <v>765391637</v>
      </c>
      <c r="G85" s="54">
        <f t="shared" si="7"/>
        <v>0</v>
      </c>
      <c r="H85" s="42"/>
      <c r="I85" s="4"/>
      <c r="J85" s="42">
        <v>12000</v>
      </c>
      <c r="K85" s="4"/>
      <c r="L85" s="42"/>
      <c r="M85" s="4"/>
    </row>
    <row r="86" spans="1:14" ht="46.5" customHeight="1" thickBot="1" x14ac:dyDescent="0.6">
      <c r="A86" s="52">
        <v>116</v>
      </c>
      <c r="B86" s="50">
        <v>817</v>
      </c>
      <c r="C86" s="51" t="s">
        <v>207</v>
      </c>
      <c r="D86" s="11" t="s">
        <v>190</v>
      </c>
      <c r="E86" s="3"/>
      <c r="F86" s="3"/>
      <c r="G86" s="54">
        <f t="shared" si="7"/>
        <v>0</v>
      </c>
      <c r="H86" s="42"/>
      <c r="I86" s="4"/>
      <c r="J86" s="42">
        <v>36000</v>
      </c>
      <c r="K86" s="4"/>
      <c r="L86" s="42"/>
      <c r="M86" s="4"/>
    </row>
    <row r="87" spans="1:14" ht="46.5" customHeight="1" thickBot="1" x14ac:dyDescent="0.6">
      <c r="A87" s="52">
        <v>76</v>
      </c>
      <c r="B87" s="50">
        <v>590</v>
      </c>
      <c r="C87" s="51" t="s">
        <v>136</v>
      </c>
      <c r="D87" s="11" t="s">
        <v>190</v>
      </c>
      <c r="E87" s="3" t="s">
        <v>137</v>
      </c>
      <c r="F87" s="3">
        <v>752810706</v>
      </c>
      <c r="G87" s="54">
        <f t="shared" si="7"/>
        <v>0</v>
      </c>
      <c r="H87" s="42"/>
      <c r="I87" s="4"/>
      <c r="J87" s="42">
        <v>27500</v>
      </c>
      <c r="K87" s="4"/>
      <c r="L87" s="42"/>
      <c r="M87" s="4"/>
    </row>
    <row r="88" spans="1:14" ht="46.5" customHeight="1" thickBot="1" x14ac:dyDescent="0.6">
      <c r="A88" s="52">
        <v>99</v>
      </c>
      <c r="B88" s="50">
        <v>804</v>
      </c>
      <c r="C88" s="51" t="s">
        <v>174</v>
      </c>
      <c r="D88" s="11" t="s">
        <v>190</v>
      </c>
      <c r="E88" s="3" t="s">
        <v>175</v>
      </c>
      <c r="F88" s="3">
        <v>779796932</v>
      </c>
      <c r="G88" s="54">
        <f t="shared" si="7"/>
        <v>0</v>
      </c>
      <c r="H88" s="42"/>
      <c r="I88" s="4"/>
      <c r="J88" s="42">
        <v>34000</v>
      </c>
      <c r="K88" s="4"/>
      <c r="L88" s="42"/>
      <c r="M88" s="4"/>
      <c r="N88" s="2"/>
    </row>
    <row r="89" spans="1:14" ht="46.5" customHeight="1" thickBot="1" x14ac:dyDescent="0.6">
      <c r="A89" s="52">
        <v>118</v>
      </c>
      <c r="B89" s="48">
        <v>822</v>
      </c>
      <c r="C89" s="49" t="s">
        <v>209</v>
      </c>
      <c r="D89" s="11" t="s">
        <v>190</v>
      </c>
      <c r="E89" s="3"/>
      <c r="F89" s="3"/>
      <c r="G89" s="54"/>
      <c r="H89" s="42"/>
      <c r="I89" s="4"/>
      <c r="J89" s="42">
        <v>0</v>
      </c>
      <c r="K89" s="4"/>
      <c r="L89" s="42"/>
      <c r="M89" s="4"/>
      <c r="N89" s="2"/>
    </row>
    <row r="90" spans="1:14" ht="46.5" customHeight="1" thickBot="1" x14ac:dyDescent="0.6">
      <c r="A90" s="52">
        <v>71</v>
      </c>
      <c r="B90" s="8">
        <v>646</v>
      </c>
      <c r="C90" s="6" t="s">
        <v>126</v>
      </c>
      <c r="D90" s="11" t="s">
        <v>190</v>
      </c>
      <c r="E90" s="3" t="s">
        <v>127</v>
      </c>
      <c r="F90" s="3">
        <v>759371232</v>
      </c>
      <c r="G90" s="54">
        <f t="shared" si="7"/>
        <v>0</v>
      </c>
      <c r="H90" s="42"/>
      <c r="I90" s="4"/>
      <c r="J90" s="42">
        <v>25000</v>
      </c>
      <c r="K90" s="4"/>
      <c r="L90" s="42"/>
      <c r="M90" s="4"/>
      <c r="N90" s="2"/>
    </row>
    <row r="91" spans="1:14" ht="46.5" customHeight="1" thickBot="1" x14ac:dyDescent="0.6">
      <c r="A91" s="52">
        <v>79</v>
      </c>
      <c r="B91" s="50">
        <v>647</v>
      </c>
      <c r="C91" s="51" t="s">
        <v>142</v>
      </c>
      <c r="D91" s="11" t="s">
        <v>190</v>
      </c>
      <c r="E91" s="3" t="s">
        <v>127</v>
      </c>
      <c r="F91" s="3">
        <v>759371232</v>
      </c>
      <c r="G91" s="54">
        <f t="shared" si="7"/>
        <v>0</v>
      </c>
      <c r="H91" s="42"/>
      <c r="I91" s="4"/>
      <c r="J91" s="42">
        <v>25000</v>
      </c>
      <c r="K91" s="4"/>
      <c r="L91" s="42"/>
      <c r="M91" s="4"/>
      <c r="N91" s="2"/>
    </row>
    <row r="92" spans="1:14" ht="46.5" customHeight="1" thickBot="1" x14ac:dyDescent="0.6">
      <c r="A92" s="52">
        <v>73</v>
      </c>
      <c r="B92" s="8">
        <v>703</v>
      </c>
      <c r="C92" s="6" t="s">
        <v>130</v>
      </c>
      <c r="D92" s="11" t="s">
        <v>190</v>
      </c>
      <c r="E92" s="3" t="s">
        <v>131</v>
      </c>
      <c r="F92" s="3">
        <v>763024515</v>
      </c>
      <c r="G92" s="54">
        <f t="shared" si="7"/>
        <v>0</v>
      </c>
      <c r="H92" s="42"/>
      <c r="I92" s="4"/>
      <c r="J92" s="42">
        <v>24000</v>
      </c>
      <c r="K92" s="4"/>
      <c r="L92" s="42"/>
      <c r="M92" s="4"/>
      <c r="N92" s="2"/>
    </row>
    <row r="93" spans="1:14" ht="46.5" customHeight="1" thickBot="1" x14ac:dyDescent="0.6">
      <c r="A93" s="52">
        <v>77</v>
      </c>
      <c r="B93" s="50">
        <v>636</v>
      </c>
      <c r="C93" s="51" t="s">
        <v>138</v>
      </c>
      <c r="D93" s="11" t="s">
        <v>190</v>
      </c>
      <c r="E93" s="3" t="s">
        <v>139</v>
      </c>
      <c r="F93" s="3">
        <v>759282125</v>
      </c>
      <c r="G93" s="54">
        <f t="shared" si="7"/>
        <v>0</v>
      </c>
      <c r="H93" s="42"/>
      <c r="I93" s="4"/>
      <c r="J93" s="42">
        <v>24000</v>
      </c>
      <c r="K93" s="4"/>
      <c r="L93" s="42"/>
      <c r="M93" s="4"/>
      <c r="N93" s="2"/>
    </row>
    <row r="94" spans="1:14" ht="46.5" customHeight="1" thickBot="1" x14ac:dyDescent="0.6">
      <c r="A94" s="52">
        <v>85</v>
      </c>
      <c r="B94" s="50">
        <v>721</v>
      </c>
      <c r="C94" s="51" t="s">
        <v>153</v>
      </c>
      <c r="D94" s="11" t="s">
        <v>190</v>
      </c>
      <c r="E94" s="3" t="s">
        <v>154</v>
      </c>
      <c r="F94" s="3">
        <v>763403883</v>
      </c>
      <c r="G94" s="54">
        <f t="shared" si="7"/>
        <v>0</v>
      </c>
      <c r="H94" s="42"/>
      <c r="I94" s="4"/>
      <c r="J94" s="42">
        <v>24000</v>
      </c>
      <c r="K94" s="4"/>
      <c r="L94" s="42"/>
      <c r="M94" s="4"/>
      <c r="N94" s="2"/>
    </row>
    <row r="95" spans="1:14" ht="46.5" customHeight="1" thickBot="1" x14ac:dyDescent="0.6">
      <c r="A95" s="52">
        <v>101</v>
      </c>
      <c r="B95" s="50">
        <v>806</v>
      </c>
      <c r="C95" s="51" t="s">
        <v>178</v>
      </c>
      <c r="D95" s="11" t="s">
        <v>190</v>
      </c>
      <c r="E95" s="3" t="s">
        <v>179</v>
      </c>
      <c r="F95" s="3">
        <v>740791981</v>
      </c>
      <c r="G95" s="54">
        <f t="shared" si="7"/>
        <v>0</v>
      </c>
      <c r="H95" s="42"/>
      <c r="I95" s="4"/>
      <c r="J95" s="42">
        <v>12000</v>
      </c>
      <c r="K95" s="4"/>
      <c r="L95" s="42"/>
      <c r="M95" s="4"/>
      <c r="N95" s="2"/>
    </row>
    <row r="96" spans="1:14" ht="46.5" customHeight="1" thickBot="1" x14ac:dyDescent="0.6">
      <c r="A96" s="52">
        <v>102</v>
      </c>
      <c r="B96" s="50">
        <v>787</v>
      </c>
      <c r="C96" s="51" t="s">
        <v>180</v>
      </c>
      <c r="D96" s="11" t="s">
        <v>190</v>
      </c>
      <c r="E96" s="3" t="s">
        <v>179</v>
      </c>
      <c r="F96" s="3">
        <v>754358275</v>
      </c>
      <c r="G96" s="54">
        <f t="shared" si="7"/>
        <v>0</v>
      </c>
      <c r="H96" s="42"/>
      <c r="I96" s="4"/>
      <c r="J96" s="42">
        <v>24000</v>
      </c>
      <c r="K96" s="4"/>
      <c r="L96" s="42"/>
      <c r="M96" s="4"/>
      <c r="N96" s="2"/>
    </row>
    <row r="97" spans="1:14" ht="46.5" customHeight="1" thickBot="1" x14ac:dyDescent="0.6">
      <c r="A97" s="52">
        <v>103</v>
      </c>
      <c r="B97" s="50">
        <v>803</v>
      </c>
      <c r="C97" s="51" t="s">
        <v>204</v>
      </c>
      <c r="D97" s="11" t="s">
        <v>190</v>
      </c>
      <c r="E97" s="3" t="s">
        <v>125</v>
      </c>
      <c r="F97" s="3">
        <v>753232843</v>
      </c>
      <c r="G97" s="54">
        <f t="shared" si="7"/>
        <v>0</v>
      </c>
      <c r="H97" s="42"/>
      <c r="I97" s="4"/>
      <c r="J97" s="42">
        <v>24000</v>
      </c>
      <c r="K97" s="4"/>
      <c r="L97" s="42"/>
      <c r="M97" s="4"/>
      <c r="N97" s="2"/>
    </row>
    <row r="98" spans="1:14" ht="46.5" customHeight="1" thickBot="1" x14ac:dyDescent="0.6">
      <c r="A98" s="52">
        <v>107</v>
      </c>
      <c r="B98" s="50">
        <v>789</v>
      </c>
      <c r="C98" s="51" t="s">
        <v>200</v>
      </c>
      <c r="D98" s="11" t="s">
        <v>190</v>
      </c>
      <c r="E98" s="3" t="s">
        <v>186</v>
      </c>
      <c r="F98" s="3">
        <v>750753008</v>
      </c>
      <c r="G98" s="54">
        <f t="shared" si="7"/>
        <v>0</v>
      </c>
      <c r="H98" s="42"/>
      <c r="I98" s="4"/>
      <c r="J98" s="42">
        <v>12000</v>
      </c>
      <c r="K98" s="4"/>
      <c r="L98" s="42"/>
      <c r="M98" s="4"/>
      <c r="N98" s="2"/>
    </row>
    <row r="99" spans="1:14" ht="46.5" customHeight="1" thickBot="1" x14ac:dyDescent="0.6">
      <c r="A99" s="52">
        <v>113</v>
      </c>
      <c r="B99" s="50">
        <v>795</v>
      </c>
      <c r="C99" s="51" t="s">
        <v>201</v>
      </c>
      <c r="D99" s="11" t="s">
        <v>190</v>
      </c>
      <c r="E99" s="3"/>
      <c r="F99" s="3"/>
      <c r="G99" s="54">
        <f t="shared" si="7"/>
        <v>0</v>
      </c>
      <c r="H99" s="42"/>
      <c r="I99" s="4"/>
      <c r="J99" s="42">
        <v>12000</v>
      </c>
      <c r="K99" s="4"/>
      <c r="L99" s="42"/>
      <c r="M99" s="4"/>
      <c r="N99" s="2"/>
    </row>
    <row r="100" spans="1:14" ht="46.5" customHeight="1" thickBot="1" x14ac:dyDescent="0.6">
      <c r="A100" s="52">
        <v>114</v>
      </c>
      <c r="B100" s="48">
        <v>819</v>
      </c>
      <c r="C100" s="49" t="s">
        <v>205</v>
      </c>
      <c r="D100" s="11" t="s">
        <v>190</v>
      </c>
      <c r="E100" s="3"/>
      <c r="F100" s="3"/>
      <c r="G100" s="54">
        <f t="shared" si="7"/>
        <v>0</v>
      </c>
      <c r="H100" s="42"/>
      <c r="I100" s="4"/>
      <c r="J100" s="42">
        <v>24000</v>
      </c>
      <c r="K100" s="4"/>
      <c r="L100" s="42"/>
      <c r="M100" s="4"/>
      <c r="N100" s="2"/>
    </row>
    <row r="101" spans="1:14" ht="46.5" customHeight="1" thickBot="1" x14ac:dyDescent="0.6">
      <c r="A101" s="52">
        <v>115</v>
      </c>
      <c r="B101" s="50">
        <v>816</v>
      </c>
      <c r="C101" s="51" t="s">
        <v>206</v>
      </c>
      <c r="D101" s="11" t="s">
        <v>190</v>
      </c>
      <c r="E101" s="3"/>
      <c r="F101" s="3"/>
      <c r="G101" s="54">
        <f t="shared" si="7"/>
        <v>0</v>
      </c>
      <c r="H101" s="42"/>
      <c r="I101" s="4"/>
      <c r="J101" s="42">
        <v>24000</v>
      </c>
      <c r="K101" s="4"/>
      <c r="L101" s="42"/>
      <c r="M101" s="4"/>
      <c r="N101" s="2"/>
    </row>
    <row r="102" spans="1:14" ht="46.5" customHeight="1" thickBot="1" x14ac:dyDescent="0.6">
      <c r="A102" s="52">
        <v>83</v>
      </c>
      <c r="B102" s="50">
        <v>708</v>
      </c>
      <c r="C102" s="51" t="s">
        <v>149</v>
      </c>
      <c r="D102" s="11" t="s">
        <v>190</v>
      </c>
      <c r="E102" s="3" t="s">
        <v>150</v>
      </c>
      <c r="F102" s="3">
        <v>774350389</v>
      </c>
      <c r="G102" s="54">
        <f t="shared" si="7"/>
        <v>0</v>
      </c>
      <c r="H102" s="42"/>
      <c r="I102" s="4"/>
      <c r="J102" s="42">
        <v>16000</v>
      </c>
      <c r="K102" s="4"/>
      <c r="L102" s="42"/>
      <c r="M102" s="4"/>
      <c r="N102" s="2"/>
    </row>
    <row r="103" spans="1:14" ht="46.5" customHeight="1" thickBot="1" x14ac:dyDescent="0.6">
      <c r="A103" s="52">
        <v>92</v>
      </c>
      <c r="B103" s="50">
        <v>779</v>
      </c>
      <c r="C103" s="51" t="s">
        <v>165</v>
      </c>
      <c r="D103" s="11" t="s">
        <v>190</v>
      </c>
      <c r="E103" s="3" t="s">
        <v>95</v>
      </c>
      <c r="F103" s="3">
        <v>777558035</v>
      </c>
      <c r="G103" s="54">
        <f t="shared" si="7"/>
        <v>0</v>
      </c>
      <c r="H103" s="42"/>
      <c r="I103" s="4"/>
      <c r="J103" s="42">
        <v>18000</v>
      </c>
      <c r="K103" s="4"/>
      <c r="L103" s="42"/>
      <c r="M103" s="4"/>
      <c r="N103" s="2"/>
    </row>
    <row r="104" spans="1:14" ht="46.5" customHeight="1" thickBot="1" x14ac:dyDescent="0.6">
      <c r="A104" s="55">
        <v>67</v>
      </c>
      <c r="B104" s="72">
        <v>895</v>
      </c>
      <c r="C104" s="73" t="s">
        <v>119</v>
      </c>
      <c r="D104" s="70" t="s">
        <v>190</v>
      </c>
      <c r="E104" s="71" t="s">
        <v>120</v>
      </c>
      <c r="F104" s="71">
        <v>773305538</v>
      </c>
      <c r="G104" s="57" t="e">
        <f t="shared" si="7"/>
        <v>#VALUE!</v>
      </c>
      <c r="H104" s="91" t="s">
        <v>217</v>
      </c>
      <c r="I104" s="69"/>
      <c r="J104" s="58"/>
      <c r="K104" s="4"/>
      <c r="L104" s="42"/>
      <c r="M104" s="4"/>
      <c r="N104" s="2"/>
    </row>
    <row r="105" spans="1:14" ht="46.5" customHeight="1" thickBot="1" x14ac:dyDescent="0.6">
      <c r="A105" s="52">
        <v>69</v>
      </c>
      <c r="B105" s="8">
        <v>782</v>
      </c>
      <c r="C105" s="6" t="s">
        <v>199</v>
      </c>
      <c r="D105" s="11" t="s">
        <v>190</v>
      </c>
      <c r="E105" s="3" t="s">
        <v>123</v>
      </c>
      <c r="F105" s="3">
        <v>728641381</v>
      </c>
      <c r="G105" s="54">
        <f t="shared" si="7"/>
        <v>0</v>
      </c>
      <c r="H105" s="59"/>
      <c r="I105" s="4"/>
      <c r="J105" s="42">
        <v>12000</v>
      </c>
      <c r="K105" s="4"/>
      <c r="L105" s="42"/>
      <c r="M105" s="4"/>
      <c r="N105" s="2"/>
    </row>
    <row r="106" spans="1:14" ht="46.5" customHeight="1" thickBot="1" x14ac:dyDescent="0.6">
      <c r="A106" s="52">
        <v>72</v>
      </c>
      <c r="B106" s="8">
        <v>685</v>
      </c>
      <c r="C106" s="6" t="s">
        <v>128</v>
      </c>
      <c r="D106" s="11" t="s">
        <v>190</v>
      </c>
      <c r="E106" s="3" t="s">
        <v>129</v>
      </c>
      <c r="F106" s="3">
        <v>767242313</v>
      </c>
      <c r="G106" s="54">
        <f t="shared" si="7"/>
        <v>0</v>
      </c>
      <c r="H106" s="59"/>
      <c r="I106" s="4"/>
      <c r="J106" s="42">
        <v>12000</v>
      </c>
      <c r="K106" s="4"/>
      <c r="L106" s="42"/>
      <c r="M106" s="4"/>
      <c r="N106" s="2"/>
    </row>
    <row r="107" spans="1:14" ht="46.5" customHeight="1" thickBot="1" x14ac:dyDescent="0.6">
      <c r="A107" s="52">
        <v>80</v>
      </c>
      <c r="B107" s="50">
        <v>713</v>
      </c>
      <c r="C107" s="51" t="s">
        <v>143</v>
      </c>
      <c r="D107" s="11" t="s">
        <v>190</v>
      </c>
      <c r="E107" s="3" t="s">
        <v>144</v>
      </c>
      <c r="F107" s="3">
        <v>778330595</v>
      </c>
      <c r="G107" s="54">
        <f t="shared" si="7"/>
        <v>0</v>
      </c>
      <c r="H107" s="42"/>
      <c r="I107" s="4"/>
      <c r="J107" s="42">
        <v>12000</v>
      </c>
      <c r="K107" s="4"/>
      <c r="L107" s="42"/>
      <c r="M107" s="4"/>
      <c r="N107" s="2"/>
    </row>
    <row r="108" spans="1:14" ht="46.5" customHeight="1" thickBot="1" x14ac:dyDescent="0.6">
      <c r="A108" s="52">
        <v>87</v>
      </c>
      <c r="B108" s="48">
        <v>736</v>
      </c>
      <c r="C108" s="49" t="s">
        <v>156</v>
      </c>
      <c r="D108" s="11" t="s">
        <v>190</v>
      </c>
      <c r="E108" s="3" t="s">
        <v>157</v>
      </c>
      <c r="F108" s="3">
        <v>779771816</v>
      </c>
      <c r="G108" s="54">
        <f t="shared" si="7"/>
        <v>0</v>
      </c>
      <c r="H108" s="42"/>
      <c r="I108" s="4"/>
      <c r="J108" s="42">
        <v>0</v>
      </c>
      <c r="K108" s="4"/>
      <c r="L108" s="42"/>
      <c r="M108" s="4"/>
      <c r="N108" s="2"/>
    </row>
    <row r="109" spans="1:14" ht="46.5" customHeight="1" thickBot="1" x14ac:dyDescent="0.6">
      <c r="A109" s="52">
        <v>94</v>
      </c>
      <c r="B109" s="50">
        <v>743</v>
      </c>
      <c r="C109" s="51" t="s">
        <v>168</v>
      </c>
      <c r="D109" s="11" t="s">
        <v>190</v>
      </c>
      <c r="E109" s="3" t="s">
        <v>125</v>
      </c>
      <c r="F109" s="3">
        <v>767766252</v>
      </c>
      <c r="G109" s="54">
        <f t="shared" si="7"/>
        <v>0</v>
      </c>
      <c r="H109" s="42"/>
      <c r="I109" s="4"/>
      <c r="J109" s="42">
        <v>0</v>
      </c>
      <c r="K109" s="4"/>
      <c r="L109" s="42"/>
      <c r="M109" s="4"/>
      <c r="N109" s="2"/>
    </row>
    <row r="110" spans="1:14" ht="46.5" customHeight="1" thickBot="1" x14ac:dyDescent="0.6">
      <c r="A110" s="55">
        <v>95</v>
      </c>
      <c r="B110" s="72">
        <v>766</v>
      </c>
      <c r="C110" s="73" t="s">
        <v>198</v>
      </c>
      <c r="D110" s="70" t="s">
        <v>190</v>
      </c>
      <c r="E110" s="71" t="s">
        <v>152</v>
      </c>
      <c r="F110" s="71">
        <v>779428640</v>
      </c>
      <c r="G110" s="57" t="e">
        <f t="shared" si="7"/>
        <v>#VALUE!</v>
      </c>
      <c r="H110" s="58" t="s">
        <v>219</v>
      </c>
      <c r="I110" s="69"/>
      <c r="J110" s="58"/>
      <c r="K110" s="4"/>
      <c r="L110" s="42"/>
      <c r="M110" s="4"/>
      <c r="N110" s="2"/>
    </row>
    <row r="111" spans="1:14" ht="46.5" customHeight="1" thickBot="1" x14ac:dyDescent="0.6">
      <c r="A111" s="98" t="s">
        <v>217</v>
      </c>
      <c r="B111" s="99">
        <v>778</v>
      </c>
      <c r="C111" s="100" t="s">
        <v>6</v>
      </c>
      <c r="D111" s="101" t="s">
        <v>190</v>
      </c>
      <c r="E111" s="102" t="s">
        <v>169</v>
      </c>
      <c r="F111" s="102"/>
      <c r="G111" s="103">
        <f t="shared" si="7"/>
        <v>0</v>
      </c>
      <c r="H111" s="62"/>
      <c r="I111" s="4"/>
      <c r="J111" s="42"/>
      <c r="K111" s="4"/>
      <c r="L111" s="42"/>
      <c r="M111" s="4"/>
      <c r="N111" s="2"/>
    </row>
    <row r="112" spans="1:14" ht="46.5" customHeight="1" thickBot="1" x14ac:dyDescent="0.6">
      <c r="A112" s="55">
        <v>97</v>
      </c>
      <c r="B112" s="72">
        <v>760</v>
      </c>
      <c r="C112" s="73" t="s">
        <v>170</v>
      </c>
      <c r="D112" s="70" t="s">
        <v>190</v>
      </c>
      <c r="E112" s="71" t="s">
        <v>171</v>
      </c>
      <c r="F112" s="71">
        <v>785655757</v>
      </c>
      <c r="G112" s="57" t="e">
        <f t="shared" si="7"/>
        <v>#VALUE!</v>
      </c>
      <c r="H112" s="58" t="s">
        <v>217</v>
      </c>
      <c r="I112" s="4"/>
      <c r="J112" s="42"/>
      <c r="K112" s="4"/>
      <c r="L112" s="42"/>
      <c r="M112" s="4"/>
    </row>
    <row r="113" spans="1:13" ht="46.5" customHeight="1" thickBot="1" x14ac:dyDescent="0.6">
      <c r="A113" s="52">
        <v>98</v>
      </c>
      <c r="B113" s="50">
        <v>764</v>
      </c>
      <c r="C113" s="51" t="s">
        <v>172</v>
      </c>
      <c r="D113" s="11" t="s">
        <v>190</v>
      </c>
      <c r="E113" s="3" t="s">
        <v>173</v>
      </c>
      <c r="F113" s="3">
        <v>775381845</v>
      </c>
      <c r="G113" s="54">
        <f t="shared" si="7"/>
        <v>0</v>
      </c>
      <c r="H113" s="42"/>
      <c r="I113" s="4"/>
      <c r="J113" s="42">
        <v>0</v>
      </c>
      <c r="K113" s="4"/>
      <c r="L113" s="42"/>
      <c r="M113" s="4"/>
    </row>
    <row r="114" spans="1:13" ht="46.5" customHeight="1" thickBot="1" x14ac:dyDescent="0.6">
      <c r="A114" s="52">
        <v>105</v>
      </c>
      <c r="B114" s="50">
        <v>813</v>
      </c>
      <c r="C114" s="51" t="s">
        <v>183</v>
      </c>
      <c r="D114" s="11" t="s">
        <v>190</v>
      </c>
      <c r="E114" s="3" t="s">
        <v>184</v>
      </c>
      <c r="F114" s="3">
        <v>776364190</v>
      </c>
      <c r="G114" s="54">
        <f t="shared" si="7"/>
        <v>0</v>
      </c>
      <c r="H114" s="42"/>
      <c r="I114" s="4"/>
      <c r="J114" s="42">
        <v>12000</v>
      </c>
      <c r="K114" s="4"/>
      <c r="L114" s="42"/>
      <c r="M114" s="4"/>
    </row>
    <row r="115" spans="1:13" ht="46.5" customHeight="1" thickBot="1" x14ac:dyDescent="0.6">
      <c r="A115" s="52">
        <v>106</v>
      </c>
      <c r="B115" s="50">
        <v>797</v>
      </c>
      <c r="C115" s="51" t="s">
        <v>119</v>
      </c>
      <c r="D115" s="11" t="s">
        <v>190</v>
      </c>
      <c r="E115" s="3" t="s">
        <v>185</v>
      </c>
      <c r="F115" s="3">
        <v>771237476</v>
      </c>
      <c r="G115" s="54">
        <f t="shared" ref="G115:G116" si="8">H115/12000</f>
        <v>0</v>
      </c>
      <c r="H115" s="42"/>
      <c r="I115" s="4"/>
      <c r="J115" s="42">
        <v>12000</v>
      </c>
      <c r="K115" s="4"/>
      <c r="L115" s="42"/>
      <c r="M115" s="4"/>
    </row>
    <row r="116" spans="1:13" ht="46.5" customHeight="1" thickBot="1" x14ac:dyDescent="0.6">
      <c r="A116" s="52">
        <v>110</v>
      </c>
      <c r="B116" s="50">
        <v>799</v>
      </c>
      <c r="C116" s="51" t="s">
        <v>187</v>
      </c>
      <c r="D116" s="11" t="s">
        <v>190</v>
      </c>
      <c r="E116" s="3" t="s">
        <v>59</v>
      </c>
      <c r="F116" s="3">
        <v>761441146</v>
      </c>
      <c r="G116" s="54">
        <f t="shared" si="8"/>
        <v>0</v>
      </c>
      <c r="H116" s="42">
        <v>0</v>
      </c>
      <c r="I116" s="4"/>
      <c r="J116" s="42">
        <v>12000</v>
      </c>
      <c r="K116" s="4"/>
      <c r="L116" s="42">
        <f t="shared" ref="L116:L119" si="9">J116-K116</f>
        <v>12000</v>
      </c>
      <c r="M116" s="4"/>
    </row>
    <row r="117" spans="1:13" ht="46.5" customHeight="1" thickBot="1" x14ac:dyDescent="0.6">
      <c r="A117" s="55">
        <v>88</v>
      </c>
      <c r="B117" s="72">
        <v>724</v>
      </c>
      <c r="C117" s="73" t="s">
        <v>158</v>
      </c>
      <c r="D117" s="70" t="s">
        <v>190</v>
      </c>
      <c r="E117" s="71" t="s">
        <v>159</v>
      </c>
      <c r="F117" s="71">
        <v>740144639</v>
      </c>
      <c r="G117" s="57">
        <v>72000</v>
      </c>
      <c r="H117" s="68" t="s">
        <v>192</v>
      </c>
      <c r="I117" s="69"/>
      <c r="J117" s="58"/>
      <c r="K117" s="4"/>
      <c r="L117" s="42">
        <f t="shared" si="9"/>
        <v>0</v>
      </c>
      <c r="M117" s="4"/>
    </row>
    <row r="118" spans="1:13" ht="46.5" customHeight="1" thickBot="1" x14ac:dyDescent="0.6">
      <c r="A118" s="55">
        <v>111</v>
      </c>
      <c r="B118" s="72">
        <v>798</v>
      </c>
      <c r="C118" s="73" t="s">
        <v>202</v>
      </c>
      <c r="D118" s="70" t="s">
        <v>190</v>
      </c>
      <c r="E118" s="71" t="s">
        <v>125</v>
      </c>
      <c r="F118" s="71">
        <v>776313346</v>
      </c>
      <c r="G118" s="57">
        <v>72000</v>
      </c>
      <c r="H118" s="68" t="s">
        <v>192</v>
      </c>
      <c r="I118" s="69"/>
      <c r="J118" s="58"/>
      <c r="K118" s="4"/>
      <c r="L118" s="42">
        <f t="shared" si="9"/>
        <v>0</v>
      </c>
      <c r="M118" s="4"/>
    </row>
    <row r="119" spans="1:13" ht="46.5" customHeight="1" thickBot="1" x14ac:dyDescent="0.6">
      <c r="A119" s="55">
        <v>117</v>
      </c>
      <c r="B119" s="72">
        <v>818</v>
      </c>
      <c r="C119" s="73" t="s">
        <v>208</v>
      </c>
      <c r="D119" s="70" t="s">
        <v>190</v>
      </c>
      <c r="E119" s="71"/>
      <c r="F119" s="71"/>
      <c r="G119" s="57">
        <v>24000</v>
      </c>
      <c r="H119" s="68" t="s">
        <v>192</v>
      </c>
      <c r="I119" s="69"/>
      <c r="J119" s="58"/>
      <c r="K119" s="4"/>
      <c r="L119" s="42">
        <f t="shared" si="9"/>
        <v>0</v>
      </c>
      <c r="M119" s="4"/>
    </row>
    <row r="120" spans="1:13" ht="46.5" customHeight="1" thickBot="1" x14ac:dyDescent="0.6">
      <c r="A120" s="52"/>
      <c r="B120" s="50"/>
      <c r="C120" s="51"/>
      <c r="E120" s="3"/>
      <c r="F120" s="3"/>
      <c r="G120" s="54"/>
      <c r="H120" s="80">
        <v>0</v>
      </c>
      <c r="I120" s="41"/>
      <c r="J120" s="80">
        <f>SUM(J2:J119)</f>
        <v>3066000</v>
      </c>
      <c r="K120" s="4"/>
      <c r="L120" s="4"/>
      <c r="M120" s="4"/>
    </row>
    <row r="121" spans="1:13" ht="46.5" customHeight="1" thickBot="1" x14ac:dyDescent="0.6">
      <c r="A121" s="52">
        <v>50</v>
      </c>
      <c r="B121" s="50">
        <v>665</v>
      </c>
      <c r="C121" s="51" t="s">
        <v>214</v>
      </c>
      <c r="D121" s="11">
        <v>3</v>
      </c>
      <c r="E121" s="3"/>
      <c r="F121" s="3"/>
      <c r="G121" s="54"/>
      <c r="H121" s="42"/>
      <c r="J121" s="97">
        <v>36000</v>
      </c>
      <c r="K121" s="4"/>
      <c r="L121" s="4"/>
      <c r="M121" s="4"/>
    </row>
    <row r="122" spans="1:13" ht="46.5" customHeight="1" thickBot="1" x14ac:dyDescent="0.6">
      <c r="A122" s="52">
        <v>51</v>
      </c>
      <c r="B122" s="50">
        <v>581</v>
      </c>
      <c r="C122" s="51" t="s">
        <v>215</v>
      </c>
      <c r="D122" s="11">
        <v>3</v>
      </c>
      <c r="E122" s="3"/>
      <c r="F122" s="3"/>
      <c r="G122" s="54"/>
      <c r="H122" s="42"/>
      <c r="J122" s="97">
        <v>36000</v>
      </c>
      <c r="K122" s="4"/>
      <c r="L122" s="4"/>
      <c r="M122" s="4"/>
    </row>
    <row r="123" spans="1:13" ht="46.5" customHeight="1" thickBot="1" x14ac:dyDescent="0.6">
      <c r="A123" s="52">
        <v>52</v>
      </c>
      <c r="B123" s="50">
        <v>468</v>
      </c>
      <c r="C123" s="51" t="s">
        <v>216</v>
      </c>
      <c r="D123" s="11">
        <v>3</v>
      </c>
      <c r="E123" s="3"/>
      <c r="F123" s="3"/>
      <c r="G123" s="54"/>
      <c r="H123" s="42"/>
      <c r="J123" s="97">
        <v>36000</v>
      </c>
      <c r="K123" s="4"/>
      <c r="L123" s="4"/>
      <c r="M123" s="4"/>
    </row>
    <row r="124" spans="1:13" ht="46.5" customHeight="1" thickBot="1" x14ac:dyDescent="0.6">
      <c r="A124" s="52"/>
      <c r="B124" s="50"/>
      <c r="C124" s="51"/>
      <c r="E124" s="3"/>
      <c r="F124" s="3"/>
      <c r="G124" s="54"/>
      <c r="H124" s="42"/>
      <c r="J124" s="97">
        <v>40000</v>
      </c>
    </row>
    <row r="125" spans="1:13" ht="46.5" customHeight="1" thickBot="1" x14ac:dyDescent="0.6">
      <c r="A125" s="52">
        <v>118</v>
      </c>
      <c r="B125" s="50"/>
      <c r="C125" s="51"/>
      <c r="E125" s="3"/>
      <c r="F125" s="3"/>
      <c r="G125" s="54"/>
      <c r="H125" s="42"/>
    </row>
    <row r="126" spans="1:13" ht="46.5" customHeight="1" thickBot="1" x14ac:dyDescent="0.6">
      <c r="A126" s="52">
        <v>119</v>
      </c>
      <c r="B126" s="50">
        <v>823</v>
      </c>
      <c r="C126" s="51" t="s">
        <v>218</v>
      </c>
      <c r="D126" s="11" t="s">
        <v>190</v>
      </c>
      <c r="E126" s="3"/>
      <c r="F126" s="3"/>
      <c r="G126" s="54"/>
      <c r="H126" s="42"/>
      <c r="J126" s="1">
        <v>0</v>
      </c>
    </row>
    <row r="127" spans="1:13" ht="46.5" customHeight="1" thickBot="1" x14ac:dyDescent="0.6">
      <c r="A127" s="52"/>
      <c r="B127" s="50"/>
      <c r="C127" s="51"/>
      <c r="E127" s="3"/>
      <c r="F127" s="3"/>
      <c r="G127" s="54"/>
      <c r="H127" s="42"/>
    </row>
    <row r="128" spans="1:13" ht="46.5" customHeight="1" thickBot="1" x14ac:dyDescent="0.6">
      <c r="A128" s="52"/>
      <c r="B128" s="50"/>
      <c r="C128" s="51"/>
      <c r="E128" s="3"/>
      <c r="F128" s="3"/>
      <c r="G128" s="54"/>
      <c r="H128" s="42"/>
    </row>
    <row r="129" spans="1:8" ht="46.5" customHeight="1" thickBot="1" x14ac:dyDescent="0.6">
      <c r="A129" s="52"/>
      <c r="B129" s="50"/>
      <c r="C129" s="51"/>
      <c r="E129" s="3"/>
      <c r="F129" s="3"/>
      <c r="G129" s="54"/>
      <c r="H129" s="42"/>
    </row>
    <row r="130" spans="1:8" ht="46.5" customHeight="1" thickBot="1" x14ac:dyDescent="0.6">
      <c r="A130" s="52"/>
      <c r="B130" s="50"/>
      <c r="C130" s="51"/>
      <c r="E130" s="3"/>
      <c r="F130" s="3"/>
      <c r="G130" s="54"/>
      <c r="H130" s="42"/>
    </row>
    <row r="131" spans="1:8" ht="46.5" customHeight="1" thickBot="1" x14ac:dyDescent="0.6">
      <c r="A131" s="52"/>
      <c r="B131" s="50"/>
      <c r="C131" s="51"/>
      <c r="E131" s="3"/>
      <c r="F131" s="3"/>
      <c r="G131" s="54"/>
      <c r="H131" s="42"/>
    </row>
    <row r="132" spans="1:8" ht="46.5" customHeight="1" thickBot="1" x14ac:dyDescent="0.6">
      <c r="A132" s="52"/>
      <c r="B132" s="50"/>
      <c r="C132" s="51"/>
      <c r="E132" s="3"/>
      <c r="F132" s="3"/>
      <c r="G132" s="54"/>
      <c r="H132" s="42"/>
    </row>
  </sheetData>
  <autoFilter ref="A1:J127" xr:uid="{00000000-0001-0000-0000-000000000000}">
    <sortState xmlns:xlrd2="http://schemas.microsoft.com/office/spreadsheetml/2017/richdata2" ref="A2:J120">
      <sortCondition ref="D1:D120"/>
    </sortState>
  </autoFilter>
  <sortState xmlns:xlrd2="http://schemas.microsoft.com/office/spreadsheetml/2017/richdata2" ref="J2:J119">
    <sortCondition ref="J119:J120"/>
  </sortState>
  <pageMargins left="0.7" right="0.7" top="0.75" bottom="0.75" header="0.3" footer="0.3"/>
  <pageSetup paperSize="9" scale="36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Albaqiyath Assalihath</cp:lastModifiedBy>
  <cp:lastPrinted>2026-08-03T01:47:01Z</cp:lastPrinted>
  <dcterms:created xsi:type="dcterms:W3CDTF">2026-04-08T02:44:14Z</dcterms:created>
  <dcterms:modified xsi:type="dcterms:W3CDTF">2026-08-11T00:35:54Z</dcterms:modified>
</cp:coreProperties>
</file>